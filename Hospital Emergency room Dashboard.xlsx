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ell\Downloads\Exale Dashboard Projects\"/>
    </mc:Choice>
  </mc:AlternateContent>
  <xr:revisionPtr revIDLastSave="0" documentId="13_ncr:1_{92CB237F-C7A6-4FD5-8854-B1A138296CC8}" xr6:coauthVersionLast="47" xr6:coauthVersionMax="47" xr10:uidLastSave="{00000000-0000-0000-0000-000000000000}"/>
  <bookViews>
    <workbookView xWindow="-108" yWindow="-108" windowWidth="23256" windowHeight="12456" activeTab="1" xr2:uid="{B81D6980-794A-4B14-ABB5-24C4A15C23B3}"/>
  </bookViews>
  <sheets>
    <sheet name="Pivot Report" sheetId="1" r:id="rId1"/>
    <sheet name="Dashboard" sheetId="2" r:id="rId2"/>
    <sheet name="Average wait time daily trend" sheetId="4" r:id="rId3"/>
    <sheet name="Daily Patient E.Room" sheetId="3" r:id="rId4"/>
    <sheet name="Satisfaction score daily trend " sheetId="5" r:id="rId5"/>
  </sheets>
  <definedNames>
    <definedName name="Slicer_Date__Month">#N/A</definedName>
    <definedName name="Slicer_Date__Year">#N/A</definedName>
  </definedNames>
  <calcPr calcId="191029"/>
  <pivotCaches>
    <pivotCache cacheId="375" r:id="rId6"/>
    <pivotCache cacheId="378" r:id="rId7"/>
    <pivotCache cacheId="381" r:id="rId8"/>
    <pivotCache cacheId="384" r:id="rId9"/>
    <pivotCache cacheId="387" r:id="rId10"/>
    <pivotCache cacheId="390" r:id="rId11"/>
    <pivotCache cacheId="393" r:id="rId12"/>
    <pivotCache cacheId="396" r:id="rId13"/>
    <pivotCache cacheId="399" r:id="rId14"/>
    <pivotCache cacheId="402" r:id="rId15"/>
    <pivotCache cacheId="405" r:id="rId16"/>
    <pivotCache cacheId="40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OC-20260915-WA0014_a7df7644-dd25-4d17-b373-63222c0103c3" name="DOC-20260915-WA0014" connection="Query - DOC-20260915-WA0014"/>
          <x15:modelTable id="Calendar_Table_0adaea13-9862-4906-b9b8-4709309b0f91" name="Calendar_Table" connection="Query - Calendar_Table"/>
        </x15:modelTables>
        <x15:modelRelationships>
          <x15:modelRelationship fromTable="DOC-20260915-WA0014"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6" i="1" l="1"/>
  <c r="Q16" i="1"/>
  <c r="O16" i="1"/>
  <c r="N16" i="1"/>
  <c r="O15" i="1"/>
  <c r="P15" i="1"/>
  <c r="N1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E9D531-6CF0-49DF-B7E0-F087F51BAE5D}" name="Query - Calendar_Table" description="Connection to the 'Calendar_Table' query in the workbook." type="100" refreshedVersion="8" minRefreshableVersion="5">
    <extLst>
      <ext xmlns:x15="http://schemas.microsoft.com/office/spreadsheetml/2010/11/main" uri="{DE250136-89BD-433C-8126-D09CA5730AF9}">
        <x15:connection id="7122240b-3c4f-4e3d-808d-35e379885499"/>
      </ext>
    </extLst>
  </connection>
  <connection id="2" xr16:uid="{79D0D9B6-5F1D-4007-A2F4-46F058DEAB75}" name="Query - DOC-20260915-WA0014" description="Connection to the 'DOC-20260915-WA0014' query in the workbook." type="100" refreshedVersion="8" minRefreshableVersion="5">
    <extLst>
      <ext xmlns:x15="http://schemas.microsoft.com/office/spreadsheetml/2010/11/main" uri="{DE250136-89BD-433C-8126-D09CA5730AF9}">
        <x15:connection id="874dcc82-454c-4410-87ac-98a9881e1e9a"/>
      </ext>
    </extLst>
  </connection>
  <connection id="3" xr16:uid="{70AF7EC3-3465-476B-B1B8-0235B904B53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<sst xmlns="http://schemas.openxmlformats.org/spreadsheetml/2006/main" count="159" uniqueCount="80">
  <si>
    <t>Distinct Count of Patient Id</t>
  </si>
  <si>
    <t>No. of Patient</t>
  </si>
  <si>
    <t>Average of Patient Waittime</t>
  </si>
  <si>
    <t>Average of Patient Satisfaction Score</t>
  </si>
  <si>
    <t>Grand Total</t>
  </si>
  <si>
    <t>Row Labels</t>
  </si>
  <si>
    <t>daliy trends no.of patient</t>
  </si>
  <si>
    <t>average wait time</t>
  </si>
  <si>
    <t>*Use an area chart to track daily charges and highlight days with longest wait timesthat might need improvements</t>
  </si>
  <si>
    <t>*</t>
  </si>
  <si>
    <r>
      <rPr>
        <b/>
        <sz val="12"/>
        <color theme="1"/>
        <rFont val="Calibri"/>
        <family val="2"/>
        <scheme val="minor"/>
      </rPr>
      <t>*Showing a daily trend with an area sparkline to spot patterns like busy days or seasonal trends</t>
    </r>
    <r>
      <rPr>
        <sz val="11"/>
        <color theme="1"/>
        <rFont val="Calibri"/>
        <family val="2"/>
        <scheme val="minor"/>
      </rPr>
      <t>.</t>
    </r>
  </si>
  <si>
    <t xml:space="preserve">Satisfaction score daily trend </t>
  </si>
  <si>
    <t>* Use an area chart to show trends, spot drops in satisfaction,and link them to busy times or challenges.</t>
  </si>
  <si>
    <t>Count of Patient Admission Flag</t>
  </si>
  <si>
    <t>Admitted</t>
  </si>
  <si>
    <t>Not Admitted</t>
  </si>
  <si>
    <t>Count of Patient Admission Flag2</t>
  </si>
  <si>
    <t>Admission Status</t>
  </si>
  <si>
    <t>No.of Patient</t>
  </si>
  <si>
    <t>% status</t>
  </si>
  <si>
    <t>Chart</t>
  </si>
  <si>
    <t>0-09</t>
  </si>
  <si>
    <t>10-19</t>
  </si>
  <si>
    <t>20-29</t>
  </si>
  <si>
    <t>30-39</t>
  </si>
  <si>
    <t>40-49</t>
  </si>
  <si>
    <t>50-59</t>
  </si>
  <si>
    <t>60-69</t>
  </si>
  <si>
    <t>70-79</t>
  </si>
  <si>
    <t>Count of Age Group</t>
  </si>
  <si>
    <t>Age group wise analysis</t>
  </si>
  <si>
    <t>patient admitted ,not admitted analysis</t>
  </si>
  <si>
    <t>Ontime</t>
  </si>
  <si>
    <t>Delay</t>
  </si>
  <si>
    <t>Count of Patient attend status</t>
  </si>
  <si>
    <t>Attended status</t>
  </si>
  <si>
    <t>Female</t>
  </si>
  <si>
    <t>Male</t>
  </si>
  <si>
    <t>Count of Patient Gender</t>
  </si>
  <si>
    <t>Gender Wise Analysis</t>
  </si>
  <si>
    <t>Cardiology</t>
  </si>
  <si>
    <t>Gastroenterology</t>
  </si>
  <si>
    <t>General Practice</t>
  </si>
  <si>
    <t>Neurology</t>
  </si>
  <si>
    <t>None</t>
  </si>
  <si>
    <t>Orthopedics</t>
  </si>
  <si>
    <t>Physiotherapy</t>
  </si>
  <si>
    <t>Renal</t>
  </si>
  <si>
    <t>Count of Department Referral</t>
  </si>
  <si>
    <t>2023</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</si>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</sst>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7" x14ac:knownFonts="1">
    <font>
      <sz val="11"/>
      <color theme="1"/>
      <name val="Calibri"/>
      <family val="2"/>
      <scheme val="minor"/>
    </font>
    <font>
      <sz val="11"/>
      <color theme="4" tint="-0.249977111117893"/>
      <name val="Calibri"/>
      <family val="2"/>
      <scheme val="minor"/>
    </font>
    <font>
      <b/>
      <sz val="12"/>
      <color theme="1"/>
      <name val="Calibri"/>
      <family val="2"/>
      <scheme val="minor"/>
    </font>
    <font>
      <sz val="11"/>
      <color theme="1"/>
      <name val="Calibri"/>
      <family val="2"/>
      <scheme val="minor"/>
    </font>
    <font>
      <b/>
      <i/>
      <sz val="10"/>
      <color theme="1"/>
      <name val="Times New Roman"/>
      <family val="1"/>
    </font>
    <font>
      <i/>
      <sz val="10"/>
      <color theme="1"/>
      <name val="Calibri"/>
      <family val="2"/>
      <scheme val="minor"/>
    </font>
    <font>
      <b/>
      <i/>
      <sz val="8"/>
      <color rgb="FF000000"/>
      <name val="Aptos Display"/>
      <family val="2"/>
    </font>
  </fonts>
  <fills count="8">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0"/>
        <bgColor indexed="64"/>
      </patternFill>
    </fill>
  </fills>
  <borders count="1">
    <border>
      <left/>
      <right/>
      <top/>
      <bottom/>
      <diagonal/>
    </border>
  </borders>
  <cellStyleXfs count="2">
    <xf numFmtId="0" fontId="0" fillId="0" borderId="0"/>
    <xf numFmtId="9" fontId="3" fillId="0" borderId="0" applyFont="0" applyFill="0" applyBorder="0" applyAlignment="0" applyProtection="0"/>
  </cellStyleXfs>
  <cellXfs count="22">
    <xf numFmtId="0" fontId="0" fillId="0" borderId="0" xfId="0"/>
    <xf numFmtId="2" fontId="0" fillId="0" borderId="0" xfId="0" applyNumberFormat="1"/>
    <xf numFmtId="0" fontId="1" fillId="0" borderId="0" xfId="0" applyFont="1"/>
    <xf numFmtId="0" fontId="1" fillId="2" borderId="0" xfId="0" applyFont="1"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2" fillId="4" borderId="0" xfId="0" applyFont="1" applyFill="1"/>
    <xf numFmtId="164" fontId="0" fillId="0" borderId="0" xfId="0" applyNumberFormat="1"/>
    <xf numFmtId="1" fontId="0" fillId="0" borderId="0" xfId="0" applyNumberFormat="1"/>
    <xf numFmtId="10" fontId="0" fillId="0" borderId="0" xfId="0" applyNumberFormat="1"/>
    <xf numFmtId="0" fontId="4" fillId="5" borderId="0" xfId="0" applyFont="1" applyFill="1" applyAlignment="1">
      <alignment horizontal="center"/>
    </xf>
    <xf numFmtId="0" fontId="6" fillId="0" borderId="0" xfId="0" applyFont="1" applyAlignment="1">
      <alignment horizontal="center" vertical="center"/>
    </xf>
    <xf numFmtId="0" fontId="5" fillId="6" borderId="0" xfId="0" applyFont="1" applyFill="1" applyAlignment="1">
      <alignment horizontal="center"/>
    </xf>
    <xf numFmtId="0" fontId="0" fillId="6" borderId="0" xfId="0" applyFill="1" applyAlignment="1">
      <alignment horizontal="center"/>
    </xf>
    <xf numFmtId="9" fontId="0" fillId="6" borderId="0" xfId="1" applyFont="1" applyFill="1" applyAlignment="1">
      <alignment horizontal="center"/>
    </xf>
    <xf numFmtId="0" fontId="0" fillId="6" borderId="0" xfId="0" applyFill="1"/>
    <xf numFmtId="9" fontId="0" fillId="6" borderId="0" xfId="1" applyFont="1" applyFill="1"/>
    <xf numFmtId="0" fontId="1" fillId="4" borderId="0" xfId="0" applyFont="1" applyFill="1"/>
    <xf numFmtId="0" fontId="0" fillId="0" borderId="0" xfId="0" applyNumberFormat="1"/>
    <xf numFmtId="0" fontId="0" fillId="7" borderId="0" xfId="0" applyFill="1"/>
  </cellXfs>
  <cellStyles count="2">
    <cellStyle name="Normal" xfId="0" builtinId="0"/>
    <cellStyle name="Percent" xfId="1" builtinId="5"/>
  </cellStyles>
  <dxfs count="210">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4" formatCode="0.00%"/>
    </dxf>
    <dxf>
      <numFmt numFmtId="2" formatCode="0.00"/>
    </dxf>
    <dxf>
      <numFmt numFmtId="2" formatCode="0.00"/>
    </dxf>
    <dxf>
      <numFmt numFmtId="2" formatCode="0.00"/>
    </dxf>
    <dxf>
      <numFmt numFmtId="2" formatCode="0.00"/>
    </dxf>
    <dxf>
      <numFmt numFmtId="1" formatCode="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2" formatCode="0.00"/>
    </dxf>
    <dxf>
      <numFmt numFmtId="2" formatCode="0.00"/>
    </dxf>
    <dxf>
      <numFmt numFmtId="164" formatCode="0.0"/>
    </dxf>
    <dxf>
      <numFmt numFmtId="1" formatCode="0"/>
    </dxf>
    <dxf>
      <numFmt numFmtId="2" formatCode="0.00"/>
    </dxf>
    <dxf>
      <numFmt numFmtId="164" formatCode="0.0"/>
    </dxf>
    <dxf>
      <numFmt numFmtId="1" formatCode="0"/>
    </dxf>
    <dxf>
      <numFmt numFmtId="2" formatCode="0.00"/>
    </dxf>
    <dxf>
      <numFmt numFmtId="14" formatCode="0.00%"/>
    </dxf>
    <dxf>
      <numFmt numFmtId="164" formatCode="0.0"/>
    </dxf>
    <dxf>
      <numFmt numFmtId="1" formatCode="0"/>
    </dxf>
    <dxf>
      <numFmt numFmtId="164" formatCode="0.0"/>
    </dxf>
    <dxf>
      <numFmt numFmtId="1" formatCode="0"/>
    </dxf>
    <dxf>
      <numFmt numFmtId="164" formatCode="0.0"/>
    </dxf>
    <dxf>
      <numFmt numFmtId="1" formatCode="0"/>
    </dxf>
    <dxf>
      <numFmt numFmtId="164" formatCode="0.0"/>
    </dxf>
    <dxf>
      <numFmt numFmtId="1" formatCode="0"/>
    </dxf>
    <dxf>
      <fill>
        <patternFill patternType="solid">
          <bgColor rgb="FFFF8F57"/>
        </patternFill>
      </fill>
    </dxf>
    <dxf>
      <font>
        <sz val="10"/>
      </font>
      <border diagonalUp="0" diagonalDown="0">
        <left/>
        <right/>
        <top/>
        <bottom/>
        <vertical/>
        <horizontal/>
      </border>
    </dxf>
    <dxf>
      <font>
        <b/>
        <color theme="1"/>
      </font>
      <border>
        <bottom style="thin">
          <color theme="5"/>
        </bottom>
        <vertical/>
        <horizontal/>
      </border>
    </dxf>
    <dxf>
      <font>
        <color theme="1"/>
      </font>
      <fill>
        <patternFill>
          <bgColor theme="5" tint="-0.24994659260841701"/>
        </patternFill>
      </fill>
      <border diagonalUp="0" diagonalDown="0">
        <left/>
        <right/>
        <top/>
        <bottom/>
        <vertical/>
        <horizontal/>
      </border>
    </dxf>
    <dxf>
      <font>
        <b/>
        <color theme="1"/>
      </font>
      <border>
        <bottom style="thin">
          <color theme="5"/>
        </bottom>
        <vertical/>
        <horizontal/>
      </border>
    </dxf>
    <dxf>
      <font>
        <color theme="1"/>
      </font>
      <fill>
        <patternFill>
          <bgColor theme="5" tint="0.39994506668294322"/>
        </patternFill>
      </fill>
      <border diagonalUp="0" diagonalDown="0">
        <left/>
        <right/>
        <top/>
        <bottom/>
        <vertical/>
        <horizontal/>
      </border>
    </dxf>
  </dxfs>
  <tableStyles count="6" defaultTableStyle="TableStyleMedium2" defaultPivotStyle="PivotStyleLight16">
    <tableStyle name="My style" pivot="0" table="0" count="10" xr9:uid="{F033E030-AEEE-4FAA-B2DD-8DD0ED9B32D0}">
      <tableStyleElement type="wholeTable" dxfId="209"/>
      <tableStyleElement type="headerRow" dxfId="208"/>
    </tableStyle>
    <tableStyle name="My style 2" pivot="0" table="0" count="10" xr9:uid="{7734F5FE-F83B-4CEB-BFBE-02ED7116BC50}">
      <tableStyleElement type="wholeTable" dxfId="207"/>
      <tableStyleElement type="headerRow" dxfId="206"/>
    </tableStyle>
    <tableStyle name="Slicer Style 1" pivot="0" table="0" count="0" xr9:uid="{645F9791-1FD2-4A64-8E48-64D697B7E401}"/>
    <tableStyle name="Slicer Style 2" pivot="0" table="0" count="1" xr9:uid="{9386148F-30F8-4EB8-A965-D6FBC3EF2142}">
      <tableStyleElement type="wholeTable" dxfId="205"/>
    </tableStyle>
    <tableStyle name="Slicer Style 3" pivot="0" table="0" count="0" xr9:uid="{4589463B-4174-4139-9C92-34D8333451A4}"/>
    <tableStyle name="Slicer Style 4" pivot="0" table="0" count="1" xr9:uid="{7BAA8832-D14F-4261-95C9-F7C6744F9466}">
      <tableStyleElement type="wholeTable" dxfId="204"/>
    </tableStyle>
  </tableStyles>
  <colors>
    <mruColors>
      <color rgb="FFFF8F57"/>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23"/>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2300EAAE-9186-48E3-B366-41929C5B6E73}"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spPr>
          <a:solidFill>
            <a:schemeClr val="accent2"/>
          </a:solidFill>
          <a:ln>
            <a:noFill/>
          </a:ln>
          <a:effectLst/>
        </c:spPr>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FF82F2BA-AAB9-47BD-ABDF-881F8E87F80E}"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s>
    <c:plotArea>
      <c:layout>
        <c:manualLayout>
          <c:layoutTarget val="inner"/>
          <c:xMode val="edge"/>
          <c:yMode val="edge"/>
          <c:x val="8.7235658042744663E-2"/>
          <c:y val="5.5466816647919012E-2"/>
          <c:w val="0.86488498833479144"/>
          <c:h val="0.79307195975503064"/>
        </c:manualLayout>
      </c:layout>
      <c:barChart>
        <c:barDir val="bar"/>
        <c:grouping val="clustered"/>
        <c:varyColors val="0"/>
        <c:ser>
          <c:idx val="0"/>
          <c:order val="0"/>
          <c:tx>
            <c:strRef>
              <c:f>'Pivot Report'!$P$9:$P$10</c:f>
              <c:strCache>
                <c:ptCount val="1"/>
                <c:pt idx="0">
                  <c:v>Count of Patient Admission Flag</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7-80DF-486B-8B4D-6BD4C4FD194C}"/>
              </c:ext>
            </c:extLst>
          </c:dPt>
          <c:dPt>
            <c:idx val="1"/>
            <c:invertIfNegative val="0"/>
            <c:bubble3D val="0"/>
            <c:extLst>
              <c:ext xmlns:c16="http://schemas.microsoft.com/office/drawing/2014/chart" uri="{C3380CC4-5D6E-409C-BE32-E72D297353CC}">
                <c16:uniqueId val="{00000008-80DF-486B-8B4D-6BD4C4FD194C}"/>
              </c:ext>
            </c:extLst>
          </c:dPt>
          <c:dLbls>
            <c:dLbl>
              <c:idx val="0"/>
              <c:tx>
                <c:rich>
                  <a:bodyPr/>
                  <a:lstStyle/>
                  <a:p>
                    <a:fld id="{FF82F2BA-AAB9-47BD-ABDF-881F8E87F80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0DF-486B-8B4D-6BD4C4FD194C}"/>
                </c:ext>
              </c:extLst>
            </c:dLbl>
            <c:dLbl>
              <c:idx val="1"/>
              <c:tx>
                <c:rich>
                  <a:bodyPr/>
                  <a:lstStyle/>
                  <a:p>
                    <a:fld id="{2300EAAE-9186-48E3-B366-41929C5B6E7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0DF-486B-8B4D-6BD4C4FD194C}"/>
                </c:ext>
              </c:extLst>
            </c:dLbl>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Report'!$P$9:$P$10</c:f>
              <c:strCache>
                <c:ptCount val="2"/>
                <c:pt idx="0">
                  <c:v>Admitted</c:v>
                </c:pt>
                <c:pt idx="1">
                  <c:v>Not Admitted</c:v>
                </c:pt>
              </c:strCache>
            </c:strRef>
          </c:cat>
          <c:val>
            <c:numRef>
              <c:f>'Pivot Report'!$P$9:$P$10</c:f>
              <c:numCache>
                <c:formatCode>0</c:formatCode>
                <c:ptCount val="2"/>
                <c:pt idx="0">
                  <c:v>252</c:v>
                </c:pt>
                <c:pt idx="1">
                  <c:v>254</c:v>
                </c:pt>
              </c:numCache>
            </c:numRef>
          </c:val>
          <c:extLst>
            <c:ext xmlns:c15="http://schemas.microsoft.com/office/drawing/2012/chart" uri="{02D57815-91ED-43cb-92C2-25804820EDAC}">
              <c15:datalabelsRange>
                <c15:f>'Pivot Report'!$P$9:$P$10</c15:f>
                <c15:dlblRangeCache>
                  <c:ptCount val="2"/>
                  <c:pt idx="0">
                    <c:v>49.80%</c:v>
                  </c:pt>
                  <c:pt idx="1">
                    <c:v>50.20%</c:v>
                  </c:pt>
                </c15:dlblRangeCache>
              </c15:datalabelsRange>
            </c:ext>
            <c:ext xmlns:c16="http://schemas.microsoft.com/office/drawing/2014/chart" uri="{C3380CC4-5D6E-409C-BE32-E72D297353CC}">
              <c16:uniqueId val="{00000005-80DF-486B-8B4D-6BD4C4FD194C}"/>
            </c:ext>
          </c:extLst>
        </c:ser>
        <c:ser>
          <c:idx val="1"/>
          <c:order val="1"/>
          <c:tx>
            <c:strRef>
              <c:f>'Pivot Report'!$P$9:$P$10</c:f>
              <c:strCache>
                <c:ptCount val="1"/>
                <c:pt idx="0">
                  <c:v>Count of Patient Admission Flag2</c:v>
                </c:pt>
              </c:strCache>
            </c:strRef>
          </c:tx>
          <c:spPr>
            <a:solidFill>
              <a:schemeClr val="accent4"/>
            </a:solidFill>
            <a:ln>
              <a:noFill/>
            </a:ln>
            <a:effectLst/>
          </c:spPr>
          <c:invertIfNegative val="0"/>
          <c:cat>
            <c:strRef>
              <c:f>'Pivot Report'!$P$9:$P$10</c:f>
              <c:strCache>
                <c:ptCount val="2"/>
                <c:pt idx="0">
                  <c:v>Admitted</c:v>
                </c:pt>
                <c:pt idx="1">
                  <c:v>Not Admitted</c:v>
                </c:pt>
              </c:strCache>
            </c:strRef>
          </c:cat>
          <c:val>
            <c:numRef>
              <c:f>'Pivot Report'!$P$9:$P$10</c:f>
              <c:numCache>
                <c:formatCode>0.00%</c:formatCode>
                <c:ptCount val="2"/>
                <c:pt idx="0">
                  <c:v>0.49802371541501977</c:v>
                </c:pt>
                <c:pt idx="1">
                  <c:v>0.50197628458498023</c:v>
                </c:pt>
              </c:numCache>
            </c:numRef>
          </c:val>
          <c:extLst>
            <c:ext xmlns:c16="http://schemas.microsoft.com/office/drawing/2014/chart" uri="{C3380CC4-5D6E-409C-BE32-E72D297353CC}">
              <c16:uniqueId val="{00000006-80DF-486B-8B4D-6BD4C4FD194C}"/>
            </c:ext>
          </c:extLst>
        </c:ser>
        <c:dLbls>
          <c:showLegendKey val="0"/>
          <c:showVal val="0"/>
          <c:showCatName val="0"/>
          <c:showSerName val="0"/>
          <c:showPercent val="0"/>
          <c:showBubbleSize val="0"/>
        </c:dLbls>
        <c:gapWidth val="0"/>
        <c:axId val="2033959791"/>
        <c:axId val="2022650511"/>
      </c:barChart>
      <c:catAx>
        <c:axId val="2033959791"/>
        <c:scaling>
          <c:orientation val="minMax"/>
        </c:scaling>
        <c:delete val="1"/>
        <c:axPos val="l"/>
        <c:numFmt formatCode="General" sourceLinked="1"/>
        <c:majorTickMark val="none"/>
        <c:minorTickMark val="none"/>
        <c:tickLblPos val="nextTo"/>
        <c:crossAx val="2022650511"/>
        <c:crosses val="autoZero"/>
        <c:auto val="1"/>
        <c:lblAlgn val="ctr"/>
        <c:lblOffset val="100"/>
        <c:noMultiLvlLbl val="0"/>
      </c:catAx>
      <c:valAx>
        <c:axId val="2022650511"/>
        <c:scaling>
          <c:orientation val="minMax"/>
        </c:scaling>
        <c:delete val="1"/>
        <c:axPos val="b"/>
        <c:numFmt formatCode="0" sourceLinked="1"/>
        <c:majorTickMark val="none"/>
        <c:minorTickMark val="none"/>
        <c:tickLblPos val="nextTo"/>
        <c:crossAx val="2033959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Report'!$D$6</c:f>
              <c:strCache>
                <c:ptCount val="1"/>
                <c:pt idx="0">
                  <c:v>Total</c:v>
                </c:pt>
              </c:strCache>
            </c:strRef>
          </c:tx>
          <c:spPr>
            <a:solidFill>
              <a:schemeClr val="accent2">
                <a:lumMod val="50000"/>
              </a:schemeClr>
            </a:solidFill>
            <a:ln w="25400">
              <a:noFill/>
            </a:ln>
            <a:effectLst/>
          </c:spPr>
          <c:cat>
            <c:strRef>
              <c:f>'Pivot Report'!$C$7:$C$37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Report'!$D$7:$D$37</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0-A200-4BA3-9494-8BD26E9699B9}"/>
            </c:ext>
          </c:extLst>
        </c:ser>
        <c:dLbls>
          <c:showLegendKey val="0"/>
          <c:showVal val="0"/>
          <c:showCatName val="0"/>
          <c:showSerName val="0"/>
          <c:showPercent val="0"/>
          <c:showBubbleSize val="0"/>
        </c:dLbls>
        <c:axId val="1469004383"/>
        <c:axId val="1991155567"/>
      </c:areaChart>
      <c:catAx>
        <c:axId val="1469004383"/>
        <c:scaling>
          <c:orientation val="minMax"/>
        </c:scaling>
        <c:delete val="1"/>
        <c:axPos val="b"/>
        <c:numFmt formatCode="General" sourceLinked="1"/>
        <c:majorTickMark val="none"/>
        <c:minorTickMark val="none"/>
        <c:tickLblPos val="nextTo"/>
        <c:crossAx val="1991155567"/>
        <c:crosses val="autoZero"/>
        <c:auto val="1"/>
        <c:lblAlgn val="ctr"/>
        <c:lblOffset val="100"/>
        <c:noMultiLvlLbl val="0"/>
      </c:catAx>
      <c:valAx>
        <c:axId val="1991155567"/>
        <c:scaling>
          <c:orientation val="minMax"/>
        </c:scaling>
        <c:delete val="1"/>
        <c:axPos val="l"/>
        <c:numFmt formatCode="General" sourceLinked="1"/>
        <c:majorTickMark val="none"/>
        <c:minorTickMark val="none"/>
        <c:tickLblPos val="nextTo"/>
        <c:crossAx val="14690043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31"/>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94976285858999E-2"/>
          <c:y val="0.37475503062117238"/>
          <c:w val="0.94315589937222777"/>
          <c:h val="0.62524496937882768"/>
        </c:manualLayout>
      </c:layout>
      <c:areaChart>
        <c:grouping val="standard"/>
        <c:varyColors val="0"/>
        <c:ser>
          <c:idx val="0"/>
          <c:order val="0"/>
          <c:tx>
            <c:strRef>
              <c:f>'Pivot Report'!$H$6</c:f>
              <c:strCache>
                <c:ptCount val="1"/>
                <c:pt idx="0">
                  <c:v>Total</c:v>
                </c:pt>
              </c:strCache>
            </c:strRef>
          </c:tx>
          <c:spPr>
            <a:solidFill>
              <a:schemeClr val="accent2">
                <a:lumMod val="50000"/>
              </a:schemeClr>
            </a:solidFill>
            <a:ln w="25400">
              <a:noFill/>
            </a:ln>
            <a:effectLst/>
          </c:spPr>
          <c:cat>
            <c:strRef>
              <c:f>'Pivot Report'!$G$7:$G$37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Report'!$H$7:$H$37</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0-1003-44E1-B596-2F4D33A2B92D}"/>
            </c:ext>
          </c:extLst>
        </c:ser>
        <c:dLbls>
          <c:showLegendKey val="0"/>
          <c:showVal val="0"/>
          <c:showCatName val="0"/>
          <c:showSerName val="0"/>
          <c:showPercent val="0"/>
          <c:showBubbleSize val="0"/>
        </c:dLbls>
        <c:axId val="18521984"/>
        <c:axId val="1818001583"/>
      </c:areaChart>
      <c:catAx>
        <c:axId val="18521984"/>
        <c:scaling>
          <c:orientation val="minMax"/>
        </c:scaling>
        <c:delete val="1"/>
        <c:axPos val="b"/>
        <c:numFmt formatCode="General" sourceLinked="1"/>
        <c:majorTickMark val="out"/>
        <c:minorTickMark val="none"/>
        <c:tickLblPos val="nextTo"/>
        <c:crossAx val="1818001583"/>
        <c:crosses val="autoZero"/>
        <c:auto val="1"/>
        <c:lblAlgn val="ctr"/>
        <c:lblOffset val="100"/>
        <c:noMultiLvlLbl val="0"/>
      </c:catAx>
      <c:valAx>
        <c:axId val="1818001583"/>
        <c:scaling>
          <c:orientation val="minMax"/>
        </c:scaling>
        <c:delete val="1"/>
        <c:axPos val="l"/>
        <c:numFmt formatCode="0.00" sourceLinked="1"/>
        <c:majorTickMark val="none"/>
        <c:minorTickMark val="none"/>
        <c:tickLblPos val="nextTo"/>
        <c:crossAx val="185219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Emergency room Dashboard.xlsx]Pivot Report!PivotTable6</c:name>
    <c:fmtId val="5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51324266284873E-3"/>
          <c:y val="3.6222902692718974E-2"/>
          <c:w val="0.99560486757337152"/>
          <c:h val="0.96377709730728101"/>
        </c:manualLayout>
      </c:layout>
      <c:areaChart>
        <c:grouping val="standard"/>
        <c:varyColors val="0"/>
        <c:ser>
          <c:idx val="0"/>
          <c:order val="0"/>
          <c:tx>
            <c:strRef>
              <c:f>'Pivot Report'!$L$6</c:f>
              <c:strCache>
                <c:ptCount val="1"/>
                <c:pt idx="0">
                  <c:v>Total</c:v>
                </c:pt>
              </c:strCache>
            </c:strRef>
          </c:tx>
          <c:spPr>
            <a:solidFill>
              <a:schemeClr val="accent2">
                <a:lumMod val="50000"/>
              </a:schemeClr>
            </a:solidFill>
            <a:ln w="25400">
              <a:noFill/>
            </a:ln>
            <a:effectLst/>
          </c:spPr>
          <c:cat>
            <c:strRef>
              <c:f>'Pivot Report'!$K$7:$K$37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Report'!$L$7:$L$37</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0-504F-4C17-957E-D754BAABF71C}"/>
            </c:ext>
          </c:extLst>
        </c:ser>
        <c:dLbls>
          <c:showLegendKey val="0"/>
          <c:showVal val="0"/>
          <c:showCatName val="0"/>
          <c:showSerName val="0"/>
          <c:showPercent val="0"/>
          <c:showBubbleSize val="0"/>
        </c:dLbls>
        <c:axId val="50992224"/>
        <c:axId val="53709328"/>
      </c:areaChart>
      <c:catAx>
        <c:axId val="50992224"/>
        <c:scaling>
          <c:orientation val="minMax"/>
        </c:scaling>
        <c:delete val="1"/>
        <c:axPos val="b"/>
        <c:numFmt formatCode="General" sourceLinked="1"/>
        <c:majorTickMark val="out"/>
        <c:minorTickMark val="none"/>
        <c:tickLblPos val="nextTo"/>
        <c:crossAx val="53709328"/>
        <c:crosses val="autoZero"/>
        <c:auto val="1"/>
        <c:lblAlgn val="ctr"/>
        <c:lblOffset val="100"/>
        <c:noMultiLvlLbl val="0"/>
      </c:catAx>
      <c:valAx>
        <c:axId val="53709328"/>
        <c:scaling>
          <c:orientation val="minMax"/>
        </c:scaling>
        <c:delete val="1"/>
        <c:axPos val="l"/>
        <c:numFmt formatCode="0.00" sourceLinked="1"/>
        <c:majorTickMark val="none"/>
        <c:minorTickMark val="none"/>
        <c:tickLblPos val="nextTo"/>
        <c:crossAx val="509922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29"/>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463780859879824E-2"/>
          <c:y val="9.4086021505376344E-2"/>
          <c:w val="0.87430841449387364"/>
          <c:h val="0.62890184612999322"/>
        </c:manualLayout>
      </c:layout>
      <c:barChart>
        <c:barDir val="col"/>
        <c:grouping val="clustered"/>
        <c:varyColors val="0"/>
        <c:ser>
          <c:idx val="0"/>
          <c:order val="0"/>
          <c:tx>
            <c:strRef>
              <c:f>'Pivot Report'!$O$21</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Report'!$N$22:$N$30</c:f>
              <c:strCache>
                <c:ptCount val="8"/>
                <c:pt idx="0">
                  <c:v>0-09</c:v>
                </c:pt>
                <c:pt idx="1">
                  <c:v>10-19</c:v>
                </c:pt>
                <c:pt idx="2">
                  <c:v>20-29</c:v>
                </c:pt>
                <c:pt idx="3">
                  <c:v>30-39</c:v>
                </c:pt>
                <c:pt idx="4">
                  <c:v>40-49</c:v>
                </c:pt>
                <c:pt idx="5">
                  <c:v>50-59</c:v>
                </c:pt>
                <c:pt idx="6">
                  <c:v>60-69</c:v>
                </c:pt>
                <c:pt idx="7">
                  <c:v>70-79</c:v>
                </c:pt>
              </c:strCache>
            </c:strRef>
          </c:cat>
          <c:val>
            <c:numRef>
              <c:f>'Pivot Report'!$O$22:$O$30</c:f>
              <c:numCache>
                <c:formatCode>0</c:formatCode>
                <c:ptCount val="8"/>
                <c:pt idx="0">
                  <c:v>54</c:v>
                </c:pt>
                <c:pt idx="1">
                  <c:v>72</c:v>
                </c:pt>
                <c:pt idx="2">
                  <c:v>75</c:v>
                </c:pt>
                <c:pt idx="3">
                  <c:v>62</c:v>
                </c:pt>
                <c:pt idx="4">
                  <c:v>63</c:v>
                </c:pt>
                <c:pt idx="5">
                  <c:v>49</c:v>
                </c:pt>
                <c:pt idx="6">
                  <c:v>74</c:v>
                </c:pt>
                <c:pt idx="7">
                  <c:v>57</c:v>
                </c:pt>
              </c:numCache>
            </c:numRef>
          </c:val>
          <c:extLst>
            <c:ext xmlns:c16="http://schemas.microsoft.com/office/drawing/2014/chart" uri="{C3380CC4-5D6E-409C-BE32-E72D297353CC}">
              <c16:uniqueId val="{00000001-D4C1-4F2E-801B-21A8A7BFBC02}"/>
            </c:ext>
          </c:extLst>
        </c:ser>
        <c:dLbls>
          <c:dLblPos val="inEnd"/>
          <c:showLegendKey val="0"/>
          <c:showVal val="1"/>
          <c:showCatName val="0"/>
          <c:showSerName val="0"/>
          <c:showPercent val="0"/>
          <c:showBubbleSize val="0"/>
        </c:dLbls>
        <c:gapWidth val="41"/>
        <c:axId val="2077182943"/>
        <c:axId val="2077059567"/>
      </c:barChart>
      <c:catAx>
        <c:axId val="20771829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2077059567"/>
        <c:crosses val="autoZero"/>
        <c:auto val="1"/>
        <c:lblAlgn val="ctr"/>
        <c:lblOffset val="100"/>
        <c:noMultiLvlLbl val="0"/>
      </c:catAx>
      <c:valAx>
        <c:axId val="2077059567"/>
        <c:scaling>
          <c:orientation val="minMax"/>
        </c:scaling>
        <c:delete val="1"/>
        <c:axPos val="l"/>
        <c:numFmt formatCode="0" sourceLinked="1"/>
        <c:majorTickMark val="none"/>
        <c:minorTickMark val="none"/>
        <c:tickLblPos val="nextTo"/>
        <c:crossAx val="207718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4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glow rad="1016000">
              <a:schemeClr val="accent2">
                <a:lumMod val="60000"/>
                <a:lumOff val="40000"/>
                <a:alpha val="0"/>
              </a:schemeClr>
            </a:glow>
            <a:outerShdw blurRad="50800" dist="38100" dir="5400000" algn="t" rotWithShape="0">
              <a:prstClr val="black">
                <a:alpha val="40000"/>
              </a:prstClr>
            </a:outerShdw>
          </a:effectLst>
          <a:scene3d>
            <a:camera prst="orthographicFront"/>
            <a:lightRig rig="chilly" dir="t">
              <a:rot lat="0" lon="0" rev="1800000"/>
            </a:lightRig>
          </a:scene3d>
          <a:sp3d prstMaterial="matte">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2">
              <a:lumMod val="50000"/>
            </a:schemeClr>
          </a:solidFill>
          <a:ln>
            <a:noFill/>
          </a:ln>
          <a:effectLst>
            <a:glow rad="1016000">
              <a:schemeClr val="accent2">
                <a:lumMod val="60000"/>
                <a:lumOff val="40000"/>
                <a:alpha val="0"/>
              </a:schemeClr>
            </a:glow>
            <a:outerShdw blurRad="50800" dist="38100" dir="5400000" algn="t" rotWithShape="0">
              <a:prstClr val="black">
                <a:alpha val="40000"/>
              </a:prstClr>
            </a:outerShdw>
          </a:effectLst>
          <a:scene3d>
            <a:camera prst="orthographicFront"/>
            <a:lightRig rig="chilly" dir="t">
              <a:rot lat="0" lon="0" rev="1800000"/>
            </a:lightRig>
          </a:scene3d>
          <a:sp3d prstMaterial="matte">
            <a:bevel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4">
              <a:lumMod val="75000"/>
            </a:schemeClr>
          </a:solidFill>
          <a:ln>
            <a:noFill/>
          </a:ln>
          <a:effectLst>
            <a:glow rad="1016000">
              <a:schemeClr val="accent2">
                <a:lumMod val="60000"/>
                <a:lumOff val="40000"/>
                <a:alpha val="0"/>
              </a:schemeClr>
            </a:glow>
            <a:outerShdw blurRad="50800" dist="38100" dir="5400000" algn="t" rotWithShape="0">
              <a:prstClr val="black">
                <a:alpha val="40000"/>
              </a:prstClr>
            </a:outerShdw>
          </a:effectLst>
          <a:scene3d>
            <a:camera prst="orthographicFront"/>
            <a:lightRig rig="chilly" dir="t">
              <a:rot lat="0" lon="0" rev="1800000"/>
            </a:lightRig>
          </a:scene3d>
          <a:sp3d prstMaterial="matte">
            <a:bevel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78402699662542"/>
          <c:y val="0.20113550946976699"/>
          <c:w val="0.4935798906985942"/>
          <c:h val="0.63772269063712173"/>
        </c:manualLayout>
      </c:layout>
      <c:pieChart>
        <c:varyColors val="1"/>
        <c:ser>
          <c:idx val="0"/>
          <c:order val="0"/>
          <c:tx>
            <c:strRef>
              <c:f>'Pivot Report'!$O$33</c:f>
              <c:strCache>
                <c:ptCount val="1"/>
                <c:pt idx="0">
                  <c:v>Total</c:v>
                </c:pt>
              </c:strCache>
            </c:strRef>
          </c:tx>
          <c:spPr>
            <a:effectLst>
              <a:glow rad="1016000">
                <a:schemeClr val="accent2">
                  <a:lumMod val="60000"/>
                  <a:lumOff val="40000"/>
                  <a:alpha val="0"/>
                </a:schemeClr>
              </a:glow>
              <a:outerShdw blurRad="50800" dist="38100" dir="5400000" algn="t" rotWithShape="0">
                <a:prstClr val="black">
                  <a:alpha val="40000"/>
                </a:prstClr>
              </a:outerShdw>
            </a:effectLst>
            <a:scene3d>
              <a:camera prst="orthographicFront"/>
              <a:lightRig rig="chilly" dir="t">
                <a:rot lat="0" lon="0" rev="1800000"/>
              </a:lightRig>
            </a:scene3d>
            <a:sp3d prstMaterial="matte">
              <a:bevelT/>
            </a:sp3d>
          </c:spPr>
          <c:dPt>
            <c:idx val="0"/>
            <c:bubble3D val="0"/>
            <c:spPr>
              <a:solidFill>
                <a:schemeClr val="accent2">
                  <a:lumMod val="50000"/>
                </a:schemeClr>
              </a:solidFill>
              <a:ln>
                <a:noFill/>
              </a:ln>
              <a:effectLst>
                <a:glow rad="1016000">
                  <a:schemeClr val="accent2">
                    <a:lumMod val="60000"/>
                    <a:lumOff val="40000"/>
                    <a:alpha val="0"/>
                  </a:schemeClr>
                </a:glow>
                <a:outerShdw blurRad="50800" dist="38100" dir="5400000" algn="t" rotWithShape="0">
                  <a:prstClr val="black">
                    <a:alpha val="40000"/>
                  </a:prstClr>
                </a:outerShdw>
              </a:effectLst>
              <a:scene3d>
                <a:camera prst="orthographicFront"/>
                <a:lightRig rig="chilly" dir="t">
                  <a:rot lat="0" lon="0" rev="1800000"/>
                </a:lightRig>
              </a:scene3d>
              <a:sp3d prstMaterial="matte">
                <a:bevelT/>
              </a:sp3d>
            </c:spPr>
            <c:extLst>
              <c:ext xmlns:c16="http://schemas.microsoft.com/office/drawing/2014/chart" uri="{C3380CC4-5D6E-409C-BE32-E72D297353CC}">
                <c16:uniqueId val="{00000001-9379-477B-9F43-0686075C4ECD}"/>
              </c:ext>
            </c:extLst>
          </c:dPt>
          <c:dPt>
            <c:idx val="1"/>
            <c:bubble3D val="0"/>
            <c:spPr>
              <a:solidFill>
                <a:schemeClr val="accent4">
                  <a:lumMod val="75000"/>
                </a:schemeClr>
              </a:solidFill>
              <a:ln>
                <a:noFill/>
              </a:ln>
              <a:effectLst>
                <a:glow rad="1016000">
                  <a:schemeClr val="accent2">
                    <a:lumMod val="60000"/>
                    <a:lumOff val="40000"/>
                    <a:alpha val="0"/>
                  </a:schemeClr>
                </a:glow>
                <a:outerShdw blurRad="50800" dist="38100" dir="5400000" algn="t" rotWithShape="0">
                  <a:prstClr val="black">
                    <a:alpha val="40000"/>
                  </a:prstClr>
                </a:outerShdw>
              </a:effectLst>
              <a:scene3d>
                <a:camera prst="orthographicFront"/>
                <a:lightRig rig="chilly" dir="t">
                  <a:rot lat="0" lon="0" rev="1800000"/>
                </a:lightRig>
              </a:scene3d>
              <a:sp3d prstMaterial="matte">
                <a:bevelT/>
              </a:sp3d>
            </c:spPr>
            <c:extLst>
              <c:ext xmlns:c16="http://schemas.microsoft.com/office/drawing/2014/chart" uri="{C3380CC4-5D6E-409C-BE32-E72D297353CC}">
                <c16:uniqueId val="{00000003-9379-477B-9F43-0686075C4ECD}"/>
              </c:ext>
            </c:extLst>
          </c:dPt>
          <c:dLbls>
            <c:dLbl>
              <c:idx val="0"/>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379-477B-9F43-0686075C4ECD}"/>
                </c:ext>
              </c:extLst>
            </c:dLbl>
            <c:dLbl>
              <c:idx val="1"/>
              <c:dLblPos val="ct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379-477B-9F43-0686075C4EC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Report'!$N$34:$N$36</c:f>
              <c:strCache>
                <c:ptCount val="2"/>
                <c:pt idx="0">
                  <c:v>Delay</c:v>
                </c:pt>
                <c:pt idx="1">
                  <c:v>Ontime</c:v>
                </c:pt>
              </c:strCache>
            </c:strRef>
          </c:cat>
          <c:val>
            <c:numRef>
              <c:f>'Pivot Report'!$O$34:$O$36</c:f>
              <c:numCache>
                <c:formatCode>0</c:formatCode>
                <c:ptCount val="2"/>
                <c:pt idx="0">
                  <c:v>311</c:v>
                </c:pt>
                <c:pt idx="1">
                  <c:v>195</c:v>
                </c:pt>
              </c:numCache>
            </c:numRef>
          </c:val>
          <c:extLst>
            <c:ext xmlns:c16="http://schemas.microsoft.com/office/drawing/2014/chart" uri="{C3380CC4-5D6E-409C-BE32-E72D297353CC}">
              <c16:uniqueId val="{00000005-AC3D-4B3A-84DB-97259C65602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49"/>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cene3d>
            <a:camera prst="orthographicFront"/>
            <a:lightRig rig="sunrise" dir="t">
              <a:rot lat="0" lon="0" rev="1800000"/>
            </a:lightRig>
          </a:scene3d>
          <a:sp3d prstMaterial="dkEdge">
            <a:bevelT w="127000" h="44450"/>
            <a:bevelB w="133350" h="107950" prst="slope"/>
          </a:sp3d>
        </c:spPr>
        <c:marker>
          <c:symbol val="none"/>
        </c:marker>
        <c:dLbl>
          <c:idx val="0"/>
          <c:spPr>
            <a:noFill/>
            <a:ln>
              <a:noFill/>
            </a:ln>
            <a:effectLst/>
          </c:spPr>
          <c:txPr>
            <a:bodyPr rot="0" spcFirstLastPara="1" vertOverflow="ellipsis" vert="horz" wrap="square" lIns="38100" tIns="19050" rIns="38100" bIns="19050" anchor="b" anchorCtr="0">
              <a:spAutoFit/>
            </a:bodyPr>
            <a:lstStyle/>
            <a:p>
              <a:pPr algn="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2">
              <a:lumMod val="50000"/>
            </a:schemeClr>
          </a:solidFill>
          <a:ln>
            <a:noFill/>
          </a:ln>
          <a:effectLst/>
          <a:scene3d>
            <a:camera prst="orthographicFront"/>
            <a:lightRig rig="sunrise" dir="t">
              <a:rot lat="0" lon="0" rev="1800000"/>
            </a:lightRig>
          </a:scene3d>
          <a:sp3d prstMaterial="dkEdge">
            <a:bevelT w="127000" h="44450"/>
            <a:bevelB w="133350" h="107950" prst="slope"/>
          </a:sp3d>
        </c:spPr>
        <c:dLbl>
          <c:idx val="0"/>
          <c:layout>
            <c:manualLayout>
              <c:x val="6.1500615006148934E-3"/>
              <c:y val="7.0921985815602835E-3"/>
            </c:manualLayout>
          </c:layout>
          <c:spPr>
            <a:noFill/>
            <a:ln>
              <a:noFill/>
            </a:ln>
            <a:effectLst/>
          </c:spPr>
          <c:txPr>
            <a:bodyPr rot="0" spcFirstLastPara="1" vertOverflow="ellipsis" vert="horz" wrap="square" lIns="38100" tIns="19050" rIns="38100" bIns="19050" anchor="b" anchorCtr="0">
              <a:spAutoFit/>
            </a:bodyPr>
            <a:lstStyle/>
            <a:p>
              <a:pPr algn="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4">
              <a:lumMod val="75000"/>
            </a:schemeClr>
          </a:solidFill>
          <a:ln>
            <a:noFill/>
          </a:ln>
          <a:effectLst>
            <a:outerShdw blurRad="317500" algn="ctr" rotWithShape="0">
              <a:prstClr val="black">
                <a:alpha val="25000"/>
              </a:prstClr>
            </a:outerShdw>
          </a:effectLst>
          <a:scene3d>
            <a:camera prst="orthographicFront"/>
            <a:lightRig rig="sunrise" dir="t">
              <a:rot lat="0" lon="0" rev="1800000"/>
            </a:lightRig>
          </a:scene3d>
          <a:sp3d prstMaterial="dkEdge">
            <a:bevelT w="127000" h="44450"/>
            <a:bevelB w="133350" h="107950" prst="slope"/>
          </a:sp3d>
        </c:spPr>
        <c:dLbl>
          <c:idx val="0"/>
          <c:layout>
            <c:manualLayout>
              <c:x val="7.687576875768759E-2"/>
              <c:y val="0.13248813313229463"/>
            </c:manualLayout>
          </c:layout>
          <c:spPr>
            <a:noFill/>
            <a:ln>
              <a:noFill/>
            </a:ln>
            <a:effectLst/>
          </c:spPr>
          <c:txPr>
            <a:bodyPr rot="0" spcFirstLastPara="1" vertOverflow="ellipsis" vert="horz" wrap="none" lIns="38100" tIns="19050" rIns="38100" bIns="19050" anchor="ctr" anchorCtr="0">
              <a:noAutofit/>
            </a:bodyPr>
            <a:lstStyle/>
            <a:p>
              <a:pPr algn="ct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57613776137761374"/>
                  <c:h val="0.16557938236443848"/>
                </c:manualLayout>
              </c15:layout>
            </c:ext>
          </c:extLst>
        </c:dLbl>
      </c:pivotFmt>
    </c:pivotFmts>
    <c:plotArea>
      <c:layout>
        <c:manualLayout>
          <c:layoutTarget val="inner"/>
          <c:xMode val="edge"/>
          <c:yMode val="edge"/>
          <c:x val="0.20061694317730583"/>
          <c:y val="0.16494946110459599"/>
          <c:w val="0.58646599064415839"/>
          <c:h val="0.67630758921092315"/>
        </c:manualLayout>
      </c:layout>
      <c:doughnutChart>
        <c:varyColors val="1"/>
        <c:ser>
          <c:idx val="0"/>
          <c:order val="0"/>
          <c:tx>
            <c:strRef>
              <c:f>'Pivot Report'!$O$39</c:f>
              <c:strCache>
                <c:ptCount val="1"/>
                <c:pt idx="0">
                  <c:v>Total</c:v>
                </c:pt>
              </c:strCache>
            </c:strRef>
          </c:tx>
          <c:spPr>
            <a:scene3d>
              <a:camera prst="orthographicFront"/>
              <a:lightRig rig="sunrise" dir="t">
                <a:rot lat="0" lon="0" rev="1800000"/>
              </a:lightRig>
            </a:scene3d>
            <a:sp3d prstMaterial="dkEdge">
              <a:bevelT w="127000" h="44450"/>
              <a:bevelB w="133350" h="107950" prst="slope"/>
            </a:sp3d>
          </c:spPr>
          <c:dPt>
            <c:idx val="0"/>
            <c:bubble3D val="0"/>
            <c:spPr>
              <a:solidFill>
                <a:schemeClr val="accent2">
                  <a:lumMod val="50000"/>
                </a:schemeClr>
              </a:solidFill>
              <a:ln>
                <a:noFill/>
              </a:ln>
              <a:effectLst/>
              <a:scene3d>
                <a:camera prst="orthographicFront"/>
                <a:lightRig rig="sunrise" dir="t">
                  <a:rot lat="0" lon="0" rev="1800000"/>
                </a:lightRig>
              </a:scene3d>
              <a:sp3d prstMaterial="dkEdge">
                <a:bevelT w="127000" h="44450"/>
                <a:bevelB w="133350" h="107950" prst="slope"/>
              </a:sp3d>
            </c:spPr>
            <c:extLst>
              <c:ext xmlns:c16="http://schemas.microsoft.com/office/drawing/2014/chart" uri="{C3380CC4-5D6E-409C-BE32-E72D297353CC}">
                <c16:uniqueId val="{00000001-338D-4A8B-819F-4647DEE0487F}"/>
              </c:ext>
            </c:extLst>
          </c:dPt>
          <c:dPt>
            <c:idx val="1"/>
            <c:bubble3D val="0"/>
            <c:spPr>
              <a:solidFill>
                <a:schemeClr val="accent4">
                  <a:lumMod val="75000"/>
                </a:schemeClr>
              </a:solidFill>
              <a:ln>
                <a:noFill/>
              </a:ln>
              <a:effectLst>
                <a:outerShdw blurRad="317500" algn="ctr" rotWithShape="0">
                  <a:prstClr val="black">
                    <a:alpha val="25000"/>
                  </a:prstClr>
                </a:outerShdw>
              </a:effectLst>
              <a:scene3d>
                <a:camera prst="orthographicFront"/>
                <a:lightRig rig="sunrise" dir="t">
                  <a:rot lat="0" lon="0" rev="1800000"/>
                </a:lightRig>
              </a:scene3d>
              <a:sp3d prstMaterial="dkEdge">
                <a:bevelT w="127000" h="44450"/>
                <a:bevelB w="133350" h="107950" prst="slope"/>
              </a:sp3d>
            </c:spPr>
            <c:extLst>
              <c:ext xmlns:c16="http://schemas.microsoft.com/office/drawing/2014/chart" uri="{C3380CC4-5D6E-409C-BE32-E72D297353CC}">
                <c16:uniqueId val="{00000003-338D-4A8B-819F-4647DEE0487F}"/>
              </c:ext>
            </c:extLst>
          </c:dPt>
          <c:dLbls>
            <c:dLbl>
              <c:idx val="0"/>
              <c:layout>
                <c:manualLayout>
                  <c:x val="6.1500615006148934E-3"/>
                  <c:y val="7.092198581560283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38D-4A8B-819F-4647DEE0487F}"/>
                </c:ext>
              </c:extLst>
            </c:dLbl>
            <c:dLbl>
              <c:idx val="1"/>
              <c:layout>
                <c:manualLayout>
                  <c:x val="7.687576875768759E-2"/>
                  <c:y val="0.13248813313229463"/>
                </c:manualLayout>
              </c:layout>
              <c:spPr>
                <a:noFill/>
                <a:ln>
                  <a:noFill/>
                </a:ln>
                <a:effectLst/>
              </c:spPr>
              <c:txPr>
                <a:bodyPr rot="0" spcFirstLastPara="1" vertOverflow="ellipsis" vert="horz" wrap="none" lIns="38100" tIns="19050" rIns="38100" bIns="19050" anchor="ctr" anchorCtr="0">
                  <a:noAutofit/>
                </a:bodyPr>
                <a:lstStyle/>
                <a:p>
                  <a:pPr algn="ct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57613776137761374"/>
                      <c:h val="0.16557938236443848"/>
                    </c:manualLayout>
                  </c15:layout>
                </c:ext>
                <c:ext xmlns:c16="http://schemas.microsoft.com/office/drawing/2014/chart" uri="{C3380CC4-5D6E-409C-BE32-E72D297353CC}">
                  <c16:uniqueId val="{00000003-338D-4A8B-819F-4647DEE0487F}"/>
                </c:ext>
              </c:extLst>
            </c:dLbl>
            <c:spPr>
              <a:noFill/>
              <a:ln>
                <a:noFill/>
              </a:ln>
              <a:effectLst/>
            </c:spPr>
            <c:txPr>
              <a:bodyPr rot="0" spcFirstLastPara="1" vertOverflow="ellipsis" vert="horz" wrap="square" lIns="38100" tIns="19050" rIns="38100" bIns="19050" anchor="b" anchorCtr="0">
                <a:spAutoFit/>
              </a:bodyPr>
              <a:lstStyle/>
              <a:p>
                <a:pPr algn="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 Report'!$N$40:$N$42</c:f>
              <c:strCache>
                <c:ptCount val="2"/>
                <c:pt idx="0">
                  <c:v>Female</c:v>
                </c:pt>
                <c:pt idx="1">
                  <c:v>Male</c:v>
                </c:pt>
              </c:strCache>
            </c:strRef>
          </c:cat>
          <c:val>
            <c:numRef>
              <c:f>'Pivot Report'!$O$40:$O$42</c:f>
              <c:numCache>
                <c:formatCode>0</c:formatCode>
                <c:ptCount val="2"/>
                <c:pt idx="0">
                  <c:v>233</c:v>
                </c:pt>
                <c:pt idx="1">
                  <c:v>273</c:v>
                </c:pt>
              </c:numCache>
            </c:numRef>
          </c:val>
          <c:extLst>
            <c:ext xmlns:c16="http://schemas.microsoft.com/office/drawing/2014/chart" uri="{C3380CC4-5D6E-409C-BE32-E72D297353CC}">
              <c16:uniqueId val="{00000005-DC09-480A-BD72-2679556EADAA}"/>
            </c:ext>
          </c:extLst>
        </c:ser>
        <c:dLbls>
          <c:showLegendKey val="0"/>
          <c:showVal val="0"/>
          <c:showCatName val="0"/>
          <c:showSerName val="0"/>
          <c:showPercent val="1"/>
          <c:showBubbleSize val="0"/>
          <c:showLeaderLines val="1"/>
        </c:dLbls>
        <c:firstSliceAng val="0"/>
        <c:holeSize val="44"/>
      </c:doughnutChart>
      <c:spPr>
        <a:noFill/>
        <a:ln>
          <a:noFill/>
        </a:ln>
        <a:effectLst/>
      </c:spPr>
    </c:plotArea>
    <c:legend>
      <c:legendPos val="t"/>
      <c:layout>
        <c:manualLayout>
          <c:xMode val="edge"/>
          <c:yMode val="edge"/>
          <c:x val="0.26020958634783198"/>
          <c:y val="4.2553191489361701E-2"/>
          <c:w val="0.54108144231048605"/>
          <c:h val="0.11968168872507957"/>
        </c:manualLayout>
      </c:layout>
      <c:overlay val="0"/>
      <c:spPr>
        <a:noFill/>
        <a:ln>
          <a:noFill/>
        </a:ln>
        <a:effectLst>
          <a:glow rad="101600">
            <a:schemeClr val="accent2">
              <a:satMod val="175000"/>
              <a:alpha val="40000"/>
            </a:schemeClr>
          </a:glow>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scene3d>
            <a:camera prst="orthographicFront"/>
            <a:lightRig rig="freezing" dir="t">
              <a:rot lat="0" lon="0" rev="7800000"/>
            </a:lightRig>
          </a:scene3d>
          <a:sp3d prstMaterial="powder"/>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4678827957893"/>
          <c:y val="6.8783068783068779E-2"/>
          <c:w val="0.70845382538926394"/>
          <c:h val="0.6973636628754738"/>
        </c:manualLayout>
      </c:layout>
      <c:barChart>
        <c:barDir val="bar"/>
        <c:grouping val="clustered"/>
        <c:varyColors val="0"/>
        <c:ser>
          <c:idx val="0"/>
          <c:order val="0"/>
          <c:tx>
            <c:strRef>
              <c:f>'Pivot Report'!$O$45</c:f>
              <c:strCache>
                <c:ptCount val="1"/>
                <c:pt idx="0">
                  <c:v>Total</c:v>
                </c:pt>
              </c:strCache>
            </c:strRef>
          </c:tx>
          <c:spPr>
            <a:solidFill>
              <a:schemeClr val="accent2">
                <a:lumMod val="50000"/>
              </a:schemeClr>
            </a:solidFill>
            <a:ln>
              <a:noFill/>
            </a:ln>
            <a:effectLst/>
            <a:scene3d>
              <a:camera prst="orthographicFront"/>
              <a:lightRig rig="freezing" dir="t">
                <a:rot lat="0" lon="0" rev="7800000"/>
              </a:lightRig>
            </a:scene3d>
            <a:sp3d prstMaterial="powder"/>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Report'!$N$46:$N$54</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Report'!$O$46:$O$54</c:f>
              <c:numCache>
                <c:formatCode>0</c:formatCode>
                <c:ptCount val="8"/>
                <c:pt idx="0">
                  <c:v>2</c:v>
                </c:pt>
                <c:pt idx="1">
                  <c:v>11</c:v>
                </c:pt>
                <c:pt idx="2">
                  <c:v>12</c:v>
                </c:pt>
                <c:pt idx="3">
                  <c:v>15</c:v>
                </c:pt>
                <c:pt idx="4">
                  <c:v>18</c:v>
                </c:pt>
                <c:pt idx="5">
                  <c:v>60</c:v>
                </c:pt>
                <c:pt idx="6">
                  <c:v>83</c:v>
                </c:pt>
                <c:pt idx="7">
                  <c:v>305</c:v>
                </c:pt>
              </c:numCache>
            </c:numRef>
          </c:val>
          <c:extLst>
            <c:ext xmlns:c16="http://schemas.microsoft.com/office/drawing/2014/chart" uri="{C3380CC4-5D6E-409C-BE32-E72D297353CC}">
              <c16:uniqueId val="{00000001-5136-405C-8B0E-93974F8BE16F}"/>
            </c:ext>
          </c:extLst>
        </c:ser>
        <c:dLbls>
          <c:showLegendKey val="0"/>
          <c:showVal val="0"/>
          <c:showCatName val="0"/>
          <c:showSerName val="0"/>
          <c:showPercent val="0"/>
          <c:showBubbleSize val="0"/>
        </c:dLbls>
        <c:gapWidth val="30"/>
        <c:axId val="2033902719"/>
        <c:axId val="2133448879"/>
      </c:barChart>
      <c:catAx>
        <c:axId val="2033902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2133448879"/>
        <c:crosses val="autoZero"/>
        <c:auto val="1"/>
        <c:lblAlgn val="ctr"/>
        <c:lblOffset val="100"/>
        <c:noMultiLvlLbl val="0"/>
      </c:catAx>
      <c:valAx>
        <c:axId val="2133448879"/>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solidFill>
                <a:latin typeface="+mn-lt"/>
                <a:ea typeface="+mn-ea"/>
                <a:cs typeface="+mn-cs"/>
              </a:defRPr>
            </a:pPr>
            <a:endParaRPr lang="en-US"/>
          </a:p>
        </c:txPr>
        <c:crossAx val="203390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548172332117027E-2"/>
          <c:y val="0.29142146705346045"/>
          <c:w val="0.96264883810255431"/>
          <c:h val="0.70857853294653961"/>
        </c:manualLayout>
      </c:layout>
      <c:areaChart>
        <c:grouping val="standard"/>
        <c:varyColors val="0"/>
        <c:ser>
          <c:idx val="0"/>
          <c:order val="0"/>
          <c:tx>
            <c:strRef>
              <c:f>'Pivot Report'!$H$6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Report'!$G$7:$G$37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Report'!$H$7:$H$37</c:f>
              <c:numCache>
                <c:formatCode>0.00</c:formatCode>
                <c:ptCount val="30"/>
                <c:pt idx="0">
                  <c:v>34.884615384615387</c:v>
                </c:pt>
                <c:pt idx="1">
                  <c:v>34.941176470588232</c:v>
                </c:pt>
                <c:pt idx="2">
                  <c:v>32.736842105263158</c:v>
                </c:pt>
                <c:pt idx="3">
                  <c:v>34.411764705882355</c:v>
                </c:pt>
                <c:pt idx="4">
                  <c:v>34.388888888888886</c:v>
                </c:pt>
                <c:pt idx="5">
                  <c:v>33.294117647058826</c:v>
                </c:pt>
                <c:pt idx="6">
                  <c:v>35</c:v>
                </c:pt>
                <c:pt idx="7">
                  <c:v>36.736842105263158</c:v>
                </c:pt>
                <c:pt idx="8">
                  <c:v>37.368421052631582</c:v>
                </c:pt>
                <c:pt idx="9">
                  <c:v>31.428571428571427</c:v>
                </c:pt>
                <c:pt idx="10">
                  <c:v>45.470588235294116</c:v>
                </c:pt>
                <c:pt idx="11">
                  <c:v>32.549999999999997</c:v>
                </c:pt>
                <c:pt idx="12">
                  <c:v>39.615384615384613</c:v>
                </c:pt>
                <c:pt idx="13">
                  <c:v>36</c:v>
                </c:pt>
                <c:pt idx="14">
                  <c:v>31.6</c:v>
                </c:pt>
                <c:pt idx="15">
                  <c:v>33.846153846153847</c:v>
                </c:pt>
                <c:pt idx="16">
                  <c:v>31.8</c:v>
                </c:pt>
                <c:pt idx="17">
                  <c:v>36</c:v>
                </c:pt>
                <c:pt idx="18">
                  <c:v>29.8</c:v>
                </c:pt>
                <c:pt idx="19">
                  <c:v>41.307692307692307</c:v>
                </c:pt>
                <c:pt idx="20">
                  <c:v>29.764705882352942</c:v>
                </c:pt>
                <c:pt idx="21">
                  <c:v>37.92307692307692</c:v>
                </c:pt>
                <c:pt idx="22">
                  <c:v>38.625</c:v>
                </c:pt>
                <c:pt idx="23">
                  <c:v>41.470588235294116</c:v>
                </c:pt>
                <c:pt idx="24">
                  <c:v>39.5</c:v>
                </c:pt>
                <c:pt idx="25">
                  <c:v>29.736842105263158</c:v>
                </c:pt>
                <c:pt idx="26">
                  <c:v>37.75</c:v>
                </c:pt>
                <c:pt idx="27">
                  <c:v>37.782608695652172</c:v>
                </c:pt>
                <c:pt idx="28">
                  <c:v>34.1875</c:v>
                </c:pt>
                <c:pt idx="29">
                  <c:v>36.166666666666664</c:v>
                </c:pt>
              </c:numCache>
            </c:numRef>
          </c:val>
          <c:extLst>
            <c:ext xmlns:c16="http://schemas.microsoft.com/office/drawing/2014/chart" uri="{C3380CC4-5D6E-409C-BE32-E72D297353CC}">
              <c16:uniqueId val="{00000000-0DA6-4F15-9BDF-D9ECB0C27F25}"/>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521984"/>
        <c:axId val="1818001583"/>
      </c:areaChart>
      <c:catAx>
        <c:axId val="18521984"/>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18001583"/>
        <c:crosses val="autoZero"/>
        <c:auto val="1"/>
        <c:lblAlgn val="ctr"/>
        <c:lblOffset val="100"/>
        <c:noMultiLvlLbl val="0"/>
      </c:catAx>
      <c:valAx>
        <c:axId val="1818001583"/>
        <c:scaling>
          <c:orientation val="minMax"/>
        </c:scaling>
        <c:delete val="1"/>
        <c:axPos val="l"/>
        <c:numFmt formatCode="0.00" sourceLinked="1"/>
        <c:majorTickMark val="out"/>
        <c:minorTickMark val="none"/>
        <c:tickLblPos val="nextTo"/>
        <c:crossAx val="18521984"/>
        <c:crosses val="autoZero"/>
        <c:crossBetween val="midCat"/>
      </c:valAx>
      <c:spPr>
        <a:solidFill>
          <a:schemeClr val="accent2">
            <a:lumMod val="75000"/>
          </a:schemeClr>
        </a:solidFill>
        <a:ln>
          <a:solidFill>
            <a:schemeClr val="accent2">
              <a:lumMod val="75000"/>
            </a:schemeClr>
          </a:solid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Report!PivotTable4</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2">
                <a:lumMod val="50000"/>
              </a:schemeClr>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466721050023044E-2"/>
          <c:y val="0.14432029795158285"/>
          <c:w val="0.90206066656197892"/>
          <c:h val="0.67807262569832405"/>
        </c:manualLayout>
      </c:layout>
      <c:areaChart>
        <c:grouping val="standard"/>
        <c:varyColors val="0"/>
        <c:ser>
          <c:idx val="0"/>
          <c:order val="0"/>
          <c:tx>
            <c:strRef>
              <c:f>'Pivot Report'!$D$6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lumMod val="50000"/>
                </a:schemeClr>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Report'!$C$7:$C$37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Report'!$D$7:$D$37</c:f>
              <c:numCache>
                <c:formatCode>General</c:formatCode>
                <c:ptCount val="30"/>
                <c:pt idx="0">
                  <c:v>26</c:v>
                </c:pt>
                <c:pt idx="1">
                  <c:v>17</c:v>
                </c:pt>
                <c:pt idx="2">
                  <c:v>19</c:v>
                </c:pt>
                <c:pt idx="3">
                  <c:v>17</c:v>
                </c:pt>
                <c:pt idx="4">
                  <c:v>18</c:v>
                </c:pt>
                <c:pt idx="5">
                  <c:v>17</c:v>
                </c:pt>
                <c:pt idx="6">
                  <c:v>17</c:v>
                </c:pt>
                <c:pt idx="7">
                  <c:v>19</c:v>
                </c:pt>
                <c:pt idx="8">
                  <c:v>19</c:v>
                </c:pt>
                <c:pt idx="9">
                  <c:v>14</c:v>
                </c:pt>
                <c:pt idx="10">
                  <c:v>17</c:v>
                </c:pt>
                <c:pt idx="11">
                  <c:v>20</c:v>
                </c:pt>
                <c:pt idx="12">
                  <c:v>13</c:v>
                </c:pt>
                <c:pt idx="13">
                  <c:v>14</c:v>
                </c:pt>
                <c:pt idx="14">
                  <c:v>15</c:v>
                </c:pt>
                <c:pt idx="15">
                  <c:v>13</c:v>
                </c:pt>
                <c:pt idx="16">
                  <c:v>15</c:v>
                </c:pt>
                <c:pt idx="17">
                  <c:v>17</c:v>
                </c:pt>
                <c:pt idx="18">
                  <c:v>10</c:v>
                </c:pt>
                <c:pt idx="19">
                  <c:v>13</c:v>
                </c:pt>
                <c:pt idx="20">
                  <c:v>17</c:v>
                </c:pt>
                <c:pt idx="21">
                  <c:v>26</c:v>
                </c:pt>
                <c:pt idx="22">
                  <c:v>8</c:v>
                </c:pt>
                <c:pt idx="23">
                  <c:v>17</c:v>
                </c:pt>
                <c:pt idx="24">
                  <c:v>18</c:v>
                </c:pt>
                <c:pt idx="25">
                  <c:v>19</c:v>
                </c:pt>
                <c:pt idx="26">
                  <c:v>20</c:v>
                </c:pt>
                <c:pt idx="27">
                  <c:v>23</c:v>
                </c:pt>
                <c:pt idx="28">
                  <c:v>16</c:v>
                </c:pt>
                <c:pt idx="29">
                  <c:v>12</c:v>
                </c:pt>
              </c:numCache>
            </c:numRef>
          </c:val>
          <c:extLst>
            <c:ext xmlns:c16="http://schemas.microsoft.com/office/drawing/2014/chart" uri="{C3380CC4-5D6E-409C-BE32-E72D297353CC}">
              <c16:uniqueId val="{00000000-311C-4EC5-9D4C-25EFBEAD280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469004383"/>
        <c:axId val="1991155567"/>
      </c:areaChart>
      <c:catAx>
        <c:axId val="146900438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1155567"/>
        <c:crosses val="autoZero"/>
        <c:auto val="1"/>
        <c:lblAlgn val="ctr"/>
        <c:lblOffset val="100"/>
        <c:noMultiLvlLbl val="0"/>
      </c:catAx>
      <c:valAx>
        <c:axId val="1991155567"/>
        <c:scaling>
          <c:orientation val="minMax"/>
        </c:scaling>
        <c:delete val="1"/>
        <c:axPos val="l"/>
        <c:numFmt formatCode="General" sourceLinked="1"/>
        <c:majorTickMark val="out"/>
        <c:minorTickMark val="none"/>
        <c:tickLblPos val="nextTo"/>
        <c:crossAx val="1469004383"/>
        <c:crosses val="autoZero"/>
        <c:crossBetween val="midCat"/>
      </c:valAx>
      <c:spPr>
        <a:solidFill>
          <a:schemeClr val="accent2">
            <a:lumMod val="7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Emergency room Dashboard.xlsx]Pivot Report!PivotTable6</c:name>
    <c:fmtId val="5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776052316796168E-2"/>
          <c:y val="0.13705465285047461"/>
          <c:w val="0.90738680982360764"/>
          <c:h val="0.7256388471672256"/>
        </c:manualLayout>
      </c:layout>
      <c:areaChart>
        <c:grouping val="standard"/>
        <c:varyColors val="0"/>
        <c:ser>
          <c:idx val="0"/>
          <c:order val="0"/>
          <c:tx>
            <c:strRef>
              <c:f>'Pivot Report'!$L$6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2"/>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2">
                          <a:lumMod val="60000"/>
                          <a:lumOff val="40000"/>
                        </a:schemeClr>
                      </a:solidFill>
                    </a:ln>
                    <a:effectLst/>
                  </c:spPr>
                </c15:leaderLines>
              </c:ext>
            </c:extLst>
          </c:dLbls>
          <c:cat>
            <c:strRef>
              <c:f>'Pivot Report'!$K$7:$K$37</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Report'!$L$7:$L$37</c:f>
              <c:numCache>
                <c:formatCode>0.00</c:formatCode>
                <c:ptCount val="30"/>
                <c:pt idx="0">
                  <c:v>4.8</c:v>
                </c:pt>
                <c:pt idx="1">
                  <c:v>5.333333333333333</c:v>
                </c:pt>
                <c:pt idx="2">
                  <c:v>6.666666666666667</c:v>
                </c:pt>
                <c:pt idx="3">
                  <c:v>4.5555555555555554</c:v>
                </c:pt>
                <c:pt idx="4">
                  <c:v>4.333333333333333</c:v>
                </c:pt>
                <c:pt idx="5">
                  <c:v>7.333333333333333</c:v>
                </c:pt>
                <c:pt idx="6">
                  <c:v>5.25</c:v>
                </c:pt>
                <c:pt idx="7">
                  <c:v>6.333333333333333</c:v>
                </c:pt>
                <c:pt idx="8">
                  <c:v>5.7142857142857144</c:v>
                </c:pt>
                <c:pt idx="9">
                  <c:v>5</c:v>
                </c:pt>
                <c:pt idx="10">
                  <c:v>6.166666666666667</c:v>
                </c:pt>
                <c:pt idx="11">
                  <c:v>3</c:v>
                </c:pt>
                <c:pt idx="12">
                  <c:v>4.5</c:v>
                </c:pt>
                <c:pt idx="13">
                  <c:v>4.666666666666667</c:v>
                </c:pt>
                <c:pt idx="14">
                  <c:v>9</c:v>
                </c:pt>
                <c:pt idx="15">
                  <c:v>1.5</c:v>
                </c:pt>
                <c:pt idx="16">
                  <c:v>6.8</c:v>
                </c:pt>
                <c:pt idx="17">
                  <c:v>4.625</c:v>
                </c:pt>
                <c:pt idx="18">
                  <c:v>4.333333333333333</c:v>
                </c:pt>
                <c:pt idx="19">
                  <c:v>1.3333333333333333</c:v>
                </c:pt>
                <c:pt idx="20">
                  <c:v>5</c:v>
                </c:pt>
                <c:pt idx="21">
                  <c:v>3.1666666666666665</c:v>
                </c:pt>
                <c:pt idx="22">
                  <c:v>7.5</c:v>
                </c:pt>
                <c:pt idx="23">
                  <c:v>4.2</c:v>
                </c:pt>
                <c:pt idx="24">
                  <c:v>4.625</c:v>
                </c:pt>
                <c:pt idx="25">
                  <c:v>9.6666666666666661</c:v>
                </c:pt>
                <c:pt idx="26">
                  <c:v>6.125</c:v>
                </c:pt>
                <c:pt idx="27">
                  <c:v>5.5555555555555554</c:v>
                </c:pt>
                <c:pt idx="28">
                  <c:v>6.333333333333333</c:v>
                </c:pt>
                <c:pt idx="29">
                  <c:v>5.333333333333333</c:v>
                </c:pt>
              </c:numCache>
            </c:numRef>
          </c:val>
          <c:extLst>
            <c:ext xmlns:c16="http://schemas.microsoft.com/office/drawing/2014/chart" uri="{C3380CC4-5D6E-409C-BE32-E72D297353CC}">
              <c16:uniqueId val="{00000000-A65F-4C68-91B8-C30A23A365E9}"/>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0992224"/>
        <c:axId val="53709328"/>
      </c:areaChart>
      <c:catAx>
        <c:axId val="50992224"/>
        <c:scaling>
          <c:orientation val="minMax"/>
        </c:scaling>
        <c:delete val="0"/>
        <c:axPos val="b"/>
        <c:numFmt formatCode="General" sourceLinked="1"/>
        <c:majorTickMark val="none"/>
        <c:minorTickMark val="none"/>
        <c:tickLblPos val="nextTo"/>
        <c:spPr>
          <a:noFill/>
          <a:ln w="9525" cap="flat" cmpd="sng" algn="ctr">
            <a:solidFill>
              <a:schemeClr val="accent2">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709328"/>
        <c:crosses val="autoZero"/>
        <c:auto val="1"/>
        <c:lblAlgn val="ctr"/>
        <c:lblOffset val="100"/>
        <c:noMultiLvlLbl val="0"/>
      </c:catAx>
      <c:valAx>
        <c:axId val="53709328"/>
        <c:scaling>
          <c:orientation val="minMax"/>
        </c:scaling>
        <c:delete val="1"/>
        <c:axPos val="l"/>
        <c:numFmt formatCode="0.00" sourceLinked="1"/>
        <c:majorTickMark val="out"/>
        <c:minorTickMark val="none"/>
        <c:tickLblPos val="nextTo"/>
        <c:crossAx val="50992224"/>
        <c:crosses val="autoZero"/>
        <c:crossBetween val="midCat"/>
      </c:valAx>
      <c:spPr>
        <a:solidFill>
          <a:schemeClr val="accent2">
            <a:lumMod val="75000"/>
          </a:schemeClr>
        </a:solid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hyperlink" Target="#'Satisfaction score daily trend '!A1"/><Relationship Id="rId18" Type="http://schemas.openxmlformats.org/officeDocument/2006/relationships/chart" Target="../charts/chart7.xml"/><Relationship Id="rId3" Type="http://schemas.openxmlformats.org/officeDocument/2006/relationships/image" Target="../media/image2.png"/><Relationship Id="rId7" Type="http://schemas.openxmlformats.org/officeDocument/2006/relationships/image" Target="../media/image6.svg"/><Relationship Id="rId12" Type="http://schemas.openxmlformats.org/officeDocument/2006/relationships/chart" Target="../charts/chart3.xml"/><Relationship Id="rId17" Type="http://schemas.openxmlformats.org/officeDocument/2006/relationships/chart" Target="../charts/chart6.xml"/><Relationship Id="rId2" Type="http://schemas.openxmlformats.org/officeDocument/2006/relationships/image" Target="../media/image1.png"/><Relationship Id="rId16" Type="http://schemas.openxmlformats.org/officeDocument/2006/relationships/chart" Target="../charts/chart5.xml"/><Relationship Id="rId1" Type="http://schemas.openxmlformats.org/officeDocument/2006/relationships/hyperlink" Target="#'Daily Patient E.Room'!A1"/><Relationship Id="rId6" Type="http://schemas.openxmlformats.org/officeDocument/2006/relationships/image" Target="../media/image5.png"/><Relationship Id="rId11" Type="http://schemas.openxmlformats.org/officeDocument/2006/relationships/hyperlink" Target="#'Average wait time daily trend'!A1"/><Relationship Id="rId5" Type="http://schemas.openxmlformats.org/officeDocument/2006/relationships/image" Target="../media/image4.svg"/><Relationship Id="rId15" Type="http://schemas.openxmlformats.org/officeDocument/2006/relationships/image" Target="../media/image9.emf"/><Relationship Id="rId10" Type="http://schemas.openxmlformats.org/officeDocument/2006/relationships/chart" Target="../charts/chart2.xml"/><Relationship Id="rId19"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2.svg"/></Relationships>
</file>

<file path=xl/drawings/_rels/drawing6.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hyperlink" Target="#'Satisfaction score daily trend '!A1"/></Relationships>
</file>

<file path=xl/drawings/_rels/drawing7.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15</xdr:col>
      <xdr:colOff>868680</xdr:colOff>
      <xdr:row>14</xdr:row>
      <xdr:rowOff>0</xdr:rowOff>
    </xdr:from>
    <xdr:to>
      <xdr:col>16</xdr:col>
      <xdr:colOff>1066800</xdr:colOff>
      <xdr:row>16</xdr:row>
      <xdr:rowOff>175260</xdr:rowOff>
    </xdr:to>
    <xdr:graphicFrame macro="">
      <xdr:nvGraphicFramePr>
        <xdr:cNvPr id="4" name="Chart 3">
          <a:extLst>
            <a:ext uri="{FF2B5EF4-FFF2-40B4-BE49-F238E27FC236}">
              <a16:creationId xmlns:a16="http://schemas.microsoft.com/office/drawing/2014/main" id="{B9BBB464-6384-2BC5-2C34-D9FBE10D0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121922</xdr:colOff>
      <xdr:row>0</xdr:row>
      <xdr:rowOff>60960</xdr:rowOff>
    </xdr:from>
    <xdr:to>
      <xdr:col>6</xdr:col>
      <xdr:colOff>62256</xdr:colOff>
      <xdr:row>3</xdr:row>
      <xdr:rowOff>114300</xdr:rowOff>
    </xdr:to>
    <xdr:sp macro="" textlink="">
      <xdr:nvSpPr>
        <xdr:cNvPr id="3" name="Rectangle: Rounded Corners 2">
          <a:extLst>
            <a:ext uri="{FF2B5EF4-FFF2-40B4-BE49-F238E27FC236}">
              <a16:creationId xmlns:a16="http://schemas.microsoft.com/office/drawing/2014/main" id="{D2AFA7D3-FCFD-64D6-E108-941A995EFDBD}"/>
            </a:ext>
          </a:extLst>
        </xdr:cNvPr>
        <xdr:cNvSpPr/>
      </xdr:nvSpPr>
      <xdr:spPr>
        <a:xfrm>
          <a:off x="121922" y="60960"/>
          <a:ext cx="3597934" cy="601980"/>
        </a:xfrm>
        <a:custGeom>
          <a:avLst/>
          <a:gdLst>
            <a:gd name="csX0" fmla="*/ 182880 w 3597934"/>
            <a:gd name="csY0" fmla="*/ 267972 h 601980"/>
            <a:gd name="csX1" fmla="*/ 69852 w 3597934"/>
            <a:gd name="csY1" fmla="*/ 15240 h 601980"/>
            <a:gd name="csX2" fmla="*/ 3496308 w 3597934"/>
            <a:gd name="csY2" fmla="*/ 0 h 601980"/>
            <a:gd name="csX3" fmla="*/ 3596640 w 3597934"/>
            <a:gd name="csY3" fmla="*/ 100332 h 601980"/>
            <a:gd name="csX4" fmla="*/ 3436619 w 3597934"/>
            <a:gd name="csY4" fmla="*/ 312420 h 601980"/>
            <a:gd name="csX5" fmla="*/ 3581400 w 3597934"/>
            <a:gd name="csY5" fmla="*/ 563880 h 601980"/>
            <a:gd name="csX6" fmla="*/ 3550920 w 3597934"/>
            <a:gd name="csY6" fmla="*/ 532128 h 601980"/>
            <a:gd name="csX7" fmla="*/ 3496308 w 3597934"/>
            <a:gd name="csY7" fmla="*/ 601980 h 601980"/>
            <a:gd name="csX8" fmla="*/ 100332 w 3597934"/>
            <a:gd name="csY8" fmla="*/ 601980 h 601980"/>
            <a:gd name="csX9" fmla="*/ 0 w 3597934"/>
            <a:gd name="csY9" fmla="*/ 501648 h 601980"/>
            <a:gd name="csX10" fmla="*/ 182880 w 3597934"/>
            <a:gd name="csY10" fmla="*/ 267972 h 6019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3597934" h="601980">
              <a:moveTo>
                <a:pt x="182880" y="267972"/>
              </a:moveTo>
              <a:cubicBezTo>
                <a:pt x="182880" y="212560"/>
                <a:pt x="14440" y="15240"/>
                <a:pt x="69852" y="15240"/>
              </a:cubicBezTo>
              <a:lnTo>
                <a:pt x="3496308" y="0"/>
              </a:lnTo>
              <a:cubicBezTo>
                <a:pt x="3551720" y="0"/>
                <a:pt x="3596640" y="44920"/>
                <a:pt x="3596640" y="100332"/>
              </a:cubicBezTo>
              <a:cubicBezTo>
                <a:pt x="3614632" y="148592"/>
                <a:pt x="3439159" y="235162"/>
                <a:pt x="3436619" y="312420"/>
              </a:cubicBezTo>
              <a:cubicBezTo>
                <a:pt x="3434079" y="389678"/>
                <a:pt x="3590290" y="523452"/>
                <a:pt x="3581400" y="563880"/>
              </a:cubicBezTo>
              <a:lnTo>
                <a:pt x="3550920" y="532128"/>
              </a:lnTo>
              <a:cubicBezTo>
                <a:pt x="3550920" y="587540"/>
                <a:pt x="3551720" y="601980"/>
                <a:pt x="3496308" y="601980"/>
              </a:cubicBezTo>
              <a:lnTo>
                <a:pt x="100332" y="601980"/>
              </a:lnTo>
              <a:cubicBezTo>
                <a:pt x="44920" y="601980"/>
                <a:pt x="0" y="557060"/>
                <a:pt x="0" y="501648"/>
              </a:cubicBezTo>
              <a:cubicBezTo>
                <a:pt x="0" y="367876"/>
                <a:pt x="182880" y="401744"/>
                <a:pt x="182880" y="267972"/>
              </a:cubicBezTo>
              <a:close/>
            </a:path>
          </a:pathLst>
        </a:cu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endParaRPr lang="en-IN" sz="1400" b="1">
            <a:solidFill>
              <a:schemeClr val="tx1">
                <a:lumMod val="95000"/>
                <a:lumOff val="5000"/>
              </a:schemeClr>
            </a:solidFill>
          </a:endParaRPr>
        </a:p>
      </xdr:txBody>
    </xdr:sp>
    <xdr:clientData/>
  </xdr:twoCellAnchor>
  <xdr:twoCellAnchor editAs="absolute">
    <xdr:from>
      <xdr:col>6</xdr:col>
      <xdr:colOff>99060</xdr:colOff>
      <xdr:row>0</xdr:row>
      <xdr:rowOff>68580</xdr:rowOff>
    </xdr:from>
    <xdr:to>
      <xdr:col>8</xdr:col>
      <xdr:colOff>144780</xdr:colOff>
      <xdr:row>3</xdr:row>
      <xdr:rowOff>121920</xdr:rowOff>
    </xdr:to>
    <xdr:sp macro="" textlink="">
      <xdr:nvSpPr>
        <xdr:cNvPr id="4" name="Rectangle: Rounded Corners 3">
          <a:extLst>
            <a:ext uri="{FF2B5EF4-FFF2-40B4-BE49-F238E27FC236}">
              <a16:creationId xmlns:a16="http://schemas.microsoft.com/office/drawing/2014/main" id="{B67AE4A2-2010-4187-88CA-7FF7C4F6F7F3}"/>
            </a:ext>
          </a:extLst>
        </xdr:cNvPr>
        <xdr:cNvSpPr/>
      </xdr:nvSpPr>
      <xdr:spPr>
        <a:xfrm>
          <a:off x="3756660" y="68580"/>
          <a:ext cx="1264920" cy="60198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243840</xdr:colOff>
      <xdr:row>0</xdr:row>
      <xdr:rowOff>114300</xdr:rowOff>
    </xdr:from>
    <xdr:to>
      <xdr:col>12</xdr:col>
      <xdr:colOff>22860</xdr:colOff>
      <xdr:row>10</xdr:row>
      <xdr:rowOff>15240</xdr:rowOff>
    </xdr:to>
    <xdr:sp macro="" textlink="">
      <xdr:nvSpPr>
        <xdr:cNvPr id="5" name="Rectangle: Rounded Corners 4">
          <a:extLst>
            <a:ext uri="{FF2B5EF4-FFF2-40B4-BE49-F238E27FC236}">
              <a16:creationId xmlns:a16="http://schemas.microsoft.com/office/drawing/2014/main" id="{E2A0F449-08FE-4BE7-9C7F-E93D290B1350}"/>
            </a:ext>
          </a:extLst>
        </xdr:cNvPr>
        <xdr:cNvSpPr/>
      </xdr:nvSpPr>
      <xdr:spPr>
        <a:xfrm>
          <a:off x="5120640" y="114300"/>
          <a:ext cx="2217420" cy="1729740"/>
        </a:xfrm>
        <a:prstGeom prst="roundRect">
          <a:avLst>
            <a:gd name="adj" fmla="val 6667"/>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12</xdr:col>
      <xdr:colOff>76200</xdr:colOff>
      <xdr:row>0</xdr:row>
      <xdr:rowOff>91440</xdr:rowOff>
    </xdr:from>
    <xdr:to>
      <xdr:col>15</xdr:col>
      <xdr:colOff>274320</xdr:colOff>
      <xdr:row>10</xdr:row>
      <xdr:rowOff>15240</xdr:rowOff>
    </xdr:to>
    <xdr:sp macro="" textlink="">
      <xdr:nvSpPr>
        <xdr:cNvPr id="7" name="Rectangle: Rounded Corners 6">
          <a:extLst>
            <a:ext uri="{FF2B5EF4-FFF2-40B4-BE49-F238E27FC236}">
              <a16:creationId xmlns:a16="http://schemas.microsoft.com/office/drawing/2014/main" id="{28F1527F-A2D6-4FF4-820E-20989047D064}"/>
            </a:ext>
          </a:extLst>
        </xdr:cNvPr>
        <xdr:cNvSpPr/>
      </xdr:nvSpPr>
      <xdr:spPr>
        <a:xfrm>
          <a:off x="7391400" y="91440"/>
          <a:ext cx="2240280" cy="1752600"/>
        </a:xfrm>
        <a:prstGeom prst="roundRect">
          <a:avLst>
            <a:gd name="adj" fmla="val 7071"/>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0</xdr:col>
      <xdr:colOff>99060</xdr:colOff>
      <xdr:row>3</xdr:row>
      <xdr:rowOff>160020</xdr:rowOff>
    </xdr:from>
    <xdr:to>
      <xdr:col>1</xdr:col>
      <xdr:colOff>449580</xdr:colOff>
      <xdr:row>23</xdr:row>
      <xdr:rowOff>99060</xdr:rowOff>
    </xdr:to>
    <xdr:sp macro="" textlink="">
      <xdr:nvSpPr>
        <xdr:cNvPr id="8" name="Rectangle: Rounded Corners 7">
          <a:extLst>
            <a:ext uri="{FF2B5EF4-FFF2-40B4-BE49-F238E27FC236}">
              <a16:creationId xmlns:a16="http://schemas.microsoft.com/office/drawing/2014/main" id="{04EF70D1-4B63-4139-813B-D23E2BFA8BBC}"/>
            </a:ext>
          </a:extLst>
        </xdr:cNvPr>
        <xdr:cNvSpPr/>
      </xdr:nvSpPr>
      <xdr:spPr>
        <a:xfrm>
          <a:off x="99060" y="708660"/>
          <a:ext cx="960120" cy="359664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518160</xdr:colOff>
      <xdr:row>3</xdr:row>
      <xdr:rowOff>167640</xdr:rowOff>
    </xdr:from>
    <xdr:to>
      <xdr:col>3</xdr:col>
      <xdr:colOff>571500</xdr:colOff>
      <xdr:row>9</xdr:row>
      <xdr:rowOff>160020</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45F40FB5-6A69-4E3D-A2A3-2F69420775E6}"/>
            </a:ext>
          </a:extLst>
        </xdr:cNvPr>
        <xdr:cNvSpPr/>
      </xdr:nvSpPr>
      <xdr:spPr>
        <a:xfrm>
          <a:off x="1127760" y="716280"/>
          <a:ext cx="1272540" cy="108966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b="1"/>
        </a:p>
      </xdr:txBody>
    </xdr:sp>
    <xdr:clientData/>
  </xdr:twoCellAnchor>
  <xdr:twoCellAnchor editAs="absolute">
    <xdr:from>
      <xdr:col>4</xdr:col>
      <xdr:colOff>7620</xdr:colOff>
      <xdr:row>3</xdr:row>
      <xdr:rowOff>152400</xdr:rowOff>
    </xdr:from>
    <xdr:to>
      <xdr:col>6</xdr:col>
      <xdr:colOff>68580</xdr:colOff>
      <xdr:row>9</xdr:row>
      <xdr:rowOff>129540</xdr:rowOff>
    </xdr:to>
    <xdr:sp macro="" textlink="">
      <xdr:nvSpPr>
        <xdr:cNvPr id="10" name="Rectangle: Rounded Corners 9">
          <a:extLst>
            <a:ext uri="{FF2B5EF4-FFF2-40B4-BE49-F238E27FC236}">
              <a16:creationId xmlns:a16="http://schemas.microsoft.com/office/drawing/2014/main" id="{9D1A27FC-1940-4F23-9835-6F4FFDAE06A7}"/>
            </a:ext>
          </a:extLst>
        </xdr:cNvPr>
        <xdr:cNvSpPr/>
      </xdr:nvSpPr>
      <xdr:spPr>
        <a:xfrm>
          <a:off x="2446020" y="701040"/>
          <a:ext cx="1280160" cy="107442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6</xdr:col>
      <xdr:colOff>114300</xdr:colOff>
      <xdr:row>3</xdr:row>
      <xdr:rowOff>160020</xdr:rowOff>
    </xdr:from>
    <xdr:to>
      <xdr:col>8</xdr:col>
      <xdr:colOff>167640</xdr:colOff>
      <xdr:row>9</xdr:row>
      <xdr:rowOff>129540</xdr:rowOff>
    </xdr:to>
    <xdr:sp macro="" textlink="">
      <xdr:nvSpPr>
        <xdr:cNvPr id="11" name="Rectangle: Rounded Corners 10">
          <a:extLst>
            <a:ext uri="{FF2B5EF4-FFF2-40B4-BE49-F238E27FC236}">
              <a16:creationId xmlns:a16="http://schemas.microsoft.com/office/drawing/2014/main" id="{BBFEF02D-2748-49B8-866A-CA6B3AB0D304}"/>
            </a:ext>
          </a:extLst>
        </xdr:cNvPr>
        <xdr:cNvSpPr/>
      </xdr:nvSpPr>
      <xdr:spPr>
        <a:xfrm>
          <a:off x="3771900" y="708660"/>
          <a:ext cx="1272540" cy="1066800"/>
        </a:xfrm>
        <a:prstGeom prst="roundRect">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1</xdr:col>
      <xdr:colOff>541020</xdr:colOff>
      <xdr:row>13</xdr:row>
      <xdr:rowOff>129540</xdr:rowOff>
    </xdr:from>
    <xdr:to>
      <xdr:col>8</xdr:col>
      <xdr:colOff>144780</xdr:colOff>
      <xdr:row>23</xdr:row>
      <xdr:rowOff>106680</xdr:rowOff>
    </xdr:to>
    <xdr:sp macro="" textlink="">
      <xdr:nvSpPr>
        <xdr:cNvPr id="13" name="Rectangle: Rounded Corners 12">
          <a:extLst>
            <a:ext uri="{FF2B5EF4-FFF2-40B4-BE49-F238E27FC236}">
              <a16:creationId xmlns:a16="http://schemas.microsoft.com/office/drawing/2014/main" id="{A2F03AF3-4F6F-415D-A8FD-1A0C4562F674}"/>
            </a:ext>
          </a:extLst>
        </xdr:cNvPr>
        <xdr:cNvSpPr/>
      </xdr:nvSpPr>
      <xdr:spPr>
        <a:xfrm>
          <a:off x="1150620" y="2506980"/>
          <a:ext cx="3870960" cy="1805940"/>
        </a:xfrm>
        <a:prstGeom prst="roundRect">
          <a:avLst>
            <a:gd name="adj" fmla="val 3362"/>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twoCellAnchor editAs="absolute">
    <xdr:from>
      <xdr:col>8</xdr:col>
      <xdr:colOff>205740</xdr:colOff>
      <xdr:row>10</xdr:row>
      <xdr:rowOff>53340</xdr:rowOff>
    </xdr:from>
    <xdr:to>
      <xdr:col>15</xdr:col>
      <xdr:colOff>350520</xdr:colOff>
      <xdr:row>23</xdr:row>
      <xdr:rowOff>106680</xdr:rowOff>
    </xdr:to>
    <xdr:sp macro="" textlink="">
      <xdr:nvSpPr>
        <xdr:cNvPr id="14" name="Rectangle: Rounded Corners 13">
          <a:extLst>
            <a:ext uri="{FF2B5EF4-FFF2-40B4-BE49-F238E27FC236}">
              <a16:creationId xmlns:a16="http://schemas.microsoft.com/office/drawing/2014/main" id="{A024B654-167B-4D71-A001-599959972322}"/>
            </a:ext>
          </a:extLst>
        </xdr:cNvPr>
        <xdr:cNvSpPr/>
      </xdr:nvSpPr>
      <xdr:spPr>
        <a:xfrm>
          <a:off x="5082540" y="1882140"/>
          <a:ext cx="4625340" cy="2430780"/>
        </a:xfrm>
        <a:prstGeom prst="roundRect">
          <a:avLst>
            <a:gd name="adj" fmla="val 6918"/>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clientData/>
  </xdr:twoCellAnchor>
  <xdr:oneCellAnchor>
    <xdr:from>
      <xdr:col>0</xdr:col>
      <xdr:colOff>121922</xdr:colOff>
      <xdr:row>0</xdr:row>
      <xdr:rowOff>60960</xdr:rowOff>
    </xdr:from>
    <xdr:ext cx="184731" cy="264560"/>
    <xdr:sp macro="" textlink="">
      <xdr:nvSpPr>
        <xdr:cNvPr id="17" name="TextBox 16">
          <a:extLst>
            <a:ext uri="{FF2B5EF4-FFF2-40B4-BE49-F238E27FC236}">
              <a16:creationId xmlns:a16="http://schemas.microsoft.com/office/drawing/2014/main" id="{5876084C-3D71-45C1-AE43-E0F899099EB8}"/>
            </a:ext>
          </a:extLst>
        </xdr:cNvPr>
        <xdr:cNvSpPr txBox="1"/>
      </xdr:nvSpPr>
      <xdr:spPr>
        <a:xfrm>
          <a:off x="121922" y="609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absolute">
    <xdr:from>
      <xdr:col>1</xdr:col>
      <xdr:colOff>388620</xdr:colOff>
      <xdr:row>0</xdr:row>
      <xdr:rowOff>121920</xdr:rowOff>
    </xdr:from>
    <xdr:to>
      <xdr:col>5</xdr:col>
      <xdr:colOff>556260</xdr:colOff>
      <xdr:row>2</xdr:row>
      <xdr:rowOff>175260</xdr:rowOff>
    </xdr:to>
    <xdr:sp macro="" textlink="">
      <xdr:nvSpPr>
        <xdr:cNvPr id="18" name="TextBox 17">
          <a:extLst>
            <a:ext uri="{FF2B5EF4-FFF2-40B4-BE49-F238E27FC236}">
              <a16:creationId xmlns:a16="http://schemas.microsoft.com/office/drawing/2014/main" id="{401A08B4-C91C-46C8-9F88-28A2D28D1E4A}"/>
            </a:ext>
          </a:extLst>
        </xdr:cNvPr>
        <xdr:cNvSpPr txBox="1"/>
      </xdr:nvSpPr>
      <xdr:spPr>
        <a:xfrm>
          <a:off x="998220" y="121920"/>
          <a:ext cx="260604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lgn="ctr"/>
          <a:r>
            <a:rPr lang="en-IN" sz="1200" b="1"/>
            <a:t>Hospital Emergency Room Dashboard   </a:t>
          </a:r>
        </a:p>
        <a:p>
          <a:pPr algn="ctr"/>
          <a:r>
            <a:rPr lang="en-IN" sz="1200" b="1"/>
            <a:t>Monthly</a:t>
          </a:r>
          <a:r>
            <a:rPr lang="en-IN" sz="1200" b="1" baseline="0"/>
            <a:t> Report</a:t>
          </a:r>
          <a:endParaRPr lang="en-IN" sz="1200" b="1"/>
        </a:p>
      </xdr:txBody>
    </xdr:sp>
    <xdr:clientData/>
  </xdr:twoCellAnchor>
  <xdr:twoCellAnchor editAs="oneCell">
    <xdr:from>
      <xdr:col>2</xdr:col>
      <xdr:colOff>53340</xdr:colOff>
      <xdr:row>5</xdr:row>
      <xdr:rowOff>22860</xdr:rowOff>
    </xdr:from>
    <xdr:to>
      <xdr:col>3</xdr:col>
      <xdr:colOff>563881</xdr:colOff>
      <xdr:row>6</xdr:row>
      <xdr:rowOff>76199</xdr:rowOff>
    </xdr:to>
    <xdr:pic>
      <xdr:nvPicPr>
        <xdr:cNvPr id="24" name="Picture 23">
          <a:extLst>
            <a:ext uri="{FF2B5EF4-FFF2-40B4-BE49-F238E27FC236}">
              <a16:creationId xmlns:a16="http://schemas.microsoft.com/office/drawing/2014/main" id="{280FB446-6F59-5A71-AA97-CD7FF169204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595990" t="207517" r="-1686884" b="-290990"/>
        <a:stretch>
          <a:fillRect/>
        </a:stretch>
      </xdr:blipFill>
      <xdr:spPr>
        <a:xfrm>
          <a:off x="1272540" y="937260"/>
          <a:ext cx="1120141" cy="236219"/>
        </a:xfrm>
        <a:prstGeom prst="rect">
          <a:avLst/>
        </a:prstGeom>
      </xdr:spPr>
    </xdr:pic>
    <xdr:clientData/>
  </xdr:twoCellAnchor>
  <xdr:twoCellAnchor editAs="oneCell">
    <xdr:from>
      <xdr:col>0</xdr:col>
      <xdr:colOff>388620</xdr:colOff>
      <xdr:row>0</xdr:row>
      <xdr:rowOff>114300</xdr:rowOff>
    </xdr:from>
    <xdr:to>
      <xdr:col>1</xdr:col>
      <xdr:colOff>373380</xdr:colOff>
      <xdr:row>3</xdr:row>
      <xdr:rowOff>83820</xdr:rowOff>
    </xdr:to>
    <xdr:pic>
      <xdr:nvPicPr>
        <xdr:cNvPr id="26" name="Picture 25">
          <a:extLst>
            <a:ext uri="{FF2B5EF4-FFF2-40B4-BE49-F238E27FC236}">
              <a16:creationId xmlns:a16="http://schemas.microsoft.com/office/drawing/2014/main" id="{A5826BFE-6B09-562E-932E-325CAF0DE39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8620" y="114300"/>
          <a:ext cx="594360" cy="518160"/>
        </a:xfrm>
        <a:prstGeom prst="rect">
          <a:avLst/>
        </a:prstGeom>
      </xdr:spPr>
    </xdr:pic>
    <xdr:clientData/>
  </xdr:twoCellAnchor>
  <xdr:oneCellAnchor>
    <xdr:from>
      <xdr:col>1</xdr:col>
      <xdr:colOff>510540</xdr:colOff>
      <xdr:row>5</xdr:row>
      <xdr:rowOff>160020</xdr:rowOff>
    </xdr:from>
    <xdr:ext cx="1272540" cy="266701"/>
    <xdr:sp macro="" textlink="">
      <xdr:nvSpPr>
        <xdr:cNvPr id="34" name="TextBox 33">
          <a:extLst>
            <a:ext uri="{FF2B5EF4-FFF2-40B4-BE49-F238E27FC236}">
              <a16:creationId xmlns:a16="http://schemas.microsoft.com/office/drawing/2014/main" id="{34B4BCEB-8687-77A3-2044-C29B6591C7DB}"/>
            </a:ext>
          </a:extLst>
        </xdr:cNvPr>
        <xdr:cNvSpPr txBox="1"/>
      </xdr:nvSpPr>
      <xdr:spPr>
        <a:xfrm>
          <a:off x="1120140" y="1074420"/>
          <a:ext cx="1272540" cy="266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800" b="1" i="1">
              <a:latin typeface="Aptos Display" panose="020B0004020202020204" pitchFamily="34" charset="0"/>
              <a:ea typeface="Microsoft YaHei" panose="020B0503020204020204" pitchFamily="34" charset="-122"/>
            </a:rPr>
            <a:t>No. of Patient</a:t>
          </a:r>
        </a:p>
      </xdr:txBody>
    </xdr:sp>
    <xdr:clientData/>
  </xdr:oneCellAnchor>
  <xdr:oneCellAnchor>
    <xdr:from>
      <xdr:col>1</xdr:col>
      <xdr:colOff>563880</xdr:colOff>
      <xdr:row>4</xdr:row>
      <xdr:rowOff>114300</xdr:rowOff>
    </xdr:from>
    <xdr:ext cx="1181100" cy="243840"/>
    <xdr:sp macro="" textlink="'Pivot Report'!A6">
      <xdr:nvSpPr>
        <xdr:cNvPr id="39" name="TextBox 38">
          <a:extLst>
            <a:ext uri="{FF2B5EF4-FFF2-40B4-BE49-F238E27FC236}">
              <a16:creationId xmlns:a16="http://schemas.microsoft.com/office/drawing/2014/main" id="{A6549876-DBB8-BA51-1AFC-029053F3A6EF}"/>
            </a:ext>
          </a:extLst>
        </xdr:cNvPr>
        <xdr:cNvSpPr txBox="1"/>
      </xdr:nvSpPr>
      <xdr:spPr>
        <a:xfrm>
          <a:off x="1173480" y="845820"/>
          <a:ext cx="118110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E17FF3F5-71D6-41BE-AC2C-04BDB49966EC}" type="TxLink">
            <a:rPr lang="en-US" sz="1100" b="0" i="0" u="none" strike="noStrike">
              <a:ln>
                <a:solidFill>
                  <a:schemeClr val="tx1">
                    <a:lumMod val="95000"/>
                    <a:lumOff val="5000"/>
                  </a:schemeClr>
                </a:solidFill>
              </a:ln>
              <a:solidFill>
                <a:schemeClr val="tx1">
                  <a:lumMod val="95000"/>
                  <a:lumOff val="5000"/>
                </a:schemeClr>
              </a:solidFill>
              <a:latin typeface="Calibri"/>
              <a:ea typeface="Calibri"/>
              <a:cs typeface="Calibri"/>
            </a:rPr>
            <a:pPr algn="ctr"/>
            <a:t>506</a:t>
          </a:fld>
          <a:endParaRPr lang="en-IN" sz="1100">
            <a:ln>
              <a:solidFill>
                <a:schemeClr val="tx1">
                  <a:lumMod val="95000"/>
                  <a:lumOff val="5000"/>
                </a:schemeClr>
              </a:solidFill>
            </a:ln>
            <a:solidFill>
              <a:schemeClr val="tx1">
                <a:lumMod val="95000"/>
                <a:lumOff val="5000"/>
              </a:schemeClr>
            </a:solidFill>
          </a:endParaRPr>
        </a:p>
      </xdr:txBody>
    </xdr:sp>
    <xdr:clientData/>
  </xdr:oneCellAnchor>
  <xdr:oneCellAnchor>
    <xdr:from>
      <xdr:col>4</xdr:col>
      <xdr:colOff>22860</xdr:colOff>
      <xdr:row>5</xdr:row>
      <xdr:rowOff>144780</xdr:rowOff>
    </xdr:from>
    <xdr:ext cx="1272540" cy="266701"/>
    <xdr:sp macro="" textlink="">
      <xdr:nvSpPr>
        <xdr:cNvPr id="41" name="TextBox 40">
          <a:extLst>
            <a:ext uri="{FF2B5EF4-FFF2-40B4-BE49-F238E27FC236}">
              <a16:creationId xmlns:a16="http://schemas.microsoft.com/office/drawing/2014/main" id="{FC9C995A-C60A-D50C-74FB-C10CAB5AC411}"/>
            </a:ext>
          </a:extLst>
        </xdr:cNvPr>
        <xdr:cNvSpPr txBox="1"/>
      </xdr:nvSpPr>
      <xdr:spPr>
        <a:xfrm>
          <a:off x="2461260" y="1059180"/>
          <a:ext cx="1272540" cy="266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800" b="1" i="1">
              <a:latin typeface="Aptos Display" panose="020B0004020202020204" pitchFamily="34" charset="0"/>
              <a:ea typeface="Microsoft YaHei" panose="020B0503020204020204" pitchFamily="34" charset="-122"/>
            </a:rPr>
            <a:t>Average</a:t>
          </a:r>
          <a:r>
            <a:rPr lang="en-IN" sz="800" b="1" i="1" baseline="0">
              <a:latin typeface="Aptos Display" panose="020B0004020202020204" pitchFamily="34" charset="0"/>
              <a:ea typeface="Microsoft YaHei" panose="020B0503020204020204" pitchFamily="34" charset="-122"/>
            </a:rPr>
            <a:t> Wait Time</a:t>
          </a:r>
          <a:endParaRPr lang="en-IN" sz="800" b="1" i="1">
            <a:latin typeface="Aptos Display" panose="020B0004020202020204" pitchFamily="34" charset="0"/>
            <a:ea typeface="Microsoft YaHei" panose="020B0503020204020204" pitchFamily="34" charset="-122"/>
          </a:endParaRPr>
        </a:p>
      </xdr:txBody>
    </xdr:sp>
    <xdr:clientData/>
  </xdr:oneCellAnchor>
  <xdr:oneCellAnchor>
    <xdr:from>
      <xdr:col>4</xdr:col>
      <xdr:colOff>76200</xdr:colOff>
      <xdr:row>4</xdr:row>
      <xdr:rowOff>99060</xdr:rowOff>
    </xdr:from>
    <xdr:ext cx="1181100" cy="243840"/>
    <xdr:sp macro="" textlink="'Pivot Report'!A10">
      <xdr:nvSpPr>
        <xdr:cNvPr id="42" name="TextBox 41">
          <a:extLst>
            <a:ext uri="{FF2B5EF4-FFF2-40B4-BE49-F238E27FC236}">
              <a16:creationId xmlns:a16="http://schemas.microsoft.com/office/drawing/2014/main" id="{E404A726-27D9-6AAD-3A85-AAA4189A7E32}"/>
            </a:ext>
          </a:extLst>
        </xdr:cNvPr>
        <xdr:cNvSpPr txBox="1"/>
      </xdr:nvSpPr>
      <xdr:spPr>
        <a:xfrm>
          <a:off x="2514600" y="830580"/>
          <a:ext cx="118110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A478C62-5D25-4299-9594-348AA86BDC3F}" type="TxLink">
            <a:rPr lang="en-US" sz="1100" b="0" i="0" u="none" strike="noStrike">
              <a:ln>
                <a:solidFill>
                  <a:schemeClr val="tx1">
                    <a:lumMod val="95000"/>
                    <a:lumOff val="5000"/>
                  </a:schemeClr>
                </a:solidFill>
              </a:ln>
              <a:solidFill>
                <a:srgbClr val="000000"/>
              </a:solidFill>
              <a:latin typeface="Calibri"/>
              <a:ea typeface="Calibri"/>
              <a:cs typeface="Calibri"/>
            </a:rPr>
            <a:pPr algn="ctr"/>
            <a:t>35.58</a:t>
          </a:fld>
          <a:endParaRPr lang="en-IN" sz="1100">
            <a:ln>
              <a:solidFill>
                <a:schemeClr val="tx1">
                  <a:lumMod val="95000"/>
                  <a:lumOff val="5000"/>
                </a:schemeClr>
              </a:solidFill>
            </a:ln>
            <a:solidFill>
              <a:schemeClr val="tx1">
                <a:lumMod val="95000"/>
                <a:lumOff val="5000"/>
              </a:schemeClr>
            </a:solidFill>
          </a:endParaRPr>
        </a:p>
      </xdr:txBody>
    </xdr:sp>
    <xdr:clientData/>
  </xdr:oneCellAnchor>
  <xdr:oneCellAnchor>
    <xdr:from>
      <xdr:col>6</xdr:col>
      <xdr:colOff>144780</xdr:colOff>
      <xdr:row>5</xdr:row>
      <xdr:rowOff>160020</xdr:rowOff>
    </xdr:from>
    <xdr:ext cx="1272540" cy="304800"/>
    <xdr:sp macro="" textlink="">
      <xdr:nvSpPr>
        <xdr:cNvPr id="43" name="TextBox 42">
          <a:extLst>
            <a:ext uri="{FF2B5EF4-FFF2-40B4-BE49-F238E27FC236}">
              <a16:creationId xmlns:a16="http://schemas.microsoft.com/office/drawing/2014/main" id="{1E3C1BAC-FE2F-15E4-E67B-861A74FD69BB}"/>
            </a:ext>
          </a:extLst>
        </xdr:cNvPr>
        <xdr:cNvSpPr txBox="1"/>
      </xdr:nvSpPr>
      <xdr:spPr>
        <a:xfrm>
          <a:off x="3802380" y="1074420"/>
          <a:ext cx="1272540" cy="304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800" b="1" i="1">
              <a:latin typeface="Times New Roman" panose="02020603050405020304" pitchFamily="18" charset="0"/>
              <a:ea typeface="Calibri" panose="020F0502020204030204" pitchFamily="34" charset="0"/>
              <a:cs typeface="Times New Roman" panose="02020603050405020304" pitchFamily="18" charset="0"/>
            </a:rPr>
            <a:t>Patient Satisfaction Score</a:t>
          </a:r>
        </a:p>
      </xdr:txBody>
    </xdr:sp>
    <xdr:clientData/>
  </xdr:oneCellAnchor>
  <xdr:oneCellAnchor>
    <xdr:from>
      <xdr:col>6</xdr:col>
      <xdr:colOff>129540</xdr:colOff>
      <xdr:row>4</xdr:row>
      <xdr:rowOff>76200</xdr:rowOff>
    </xdr:from>
    <xdr:ext cx="1181100" cy="243840"/>
    <xdr:sp macro="" textlink="'Pivot Report'!A14">
      <xdr:nvSpPr>
        <xdr:cNvPr id="44" name="TextBox 43">
          <a:extLst>
            <a:ext uri="{FF2B5EF4-FFF2-40B4-BE49-F238E27FC236}">
              <a16:creationId xmlns:a16="http://schemas.microsoft.com/office/drawing/2014/main" id="{9BEE02A3-054A-978E-6C7A-450738F3D46C}"/>
            </a:ext>
          </a:extLst>
        </xdr:cNvPr>
        <xdr:cNvSpPr txBox="1"/>
      </xdr:nvSpPr>
      <xdr:spPr>
        <a:xfrm>
          <a:off x="3787140" y="807720"/>
          <a:ext cx="1181100" cy="243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91D220B5-D7C7-406F-92AF-13CCCABC278C}" type="TxLink">
            <a:rPr lang="en-US" sz="1100" b="0" i="0" u="none" strike="noStrike">
              <a:ln>
                <a:solidFill>
                  <a:schemeClr val="tx1">
                    <a:lumMod val="95000"/>
                    <a:lumOff val="5000"/>
                  </a:schemeClr>
                </a:solidFill>
              </a:ln>
              <a:solidFill>
                <a:srgbClr val="000000"/>
              </a:solidFill>
              <a:latin typeface="Calibri"/>
              <a:ea typeface="Calibri"/>
              <a:cs typeface="Calibri"/>
            </a:rPr>
            <a:pPr algn="ctr"/>
            <a:t>5.18</a:t>
          </a:fld>
          <a:endParaRPr lang="en-IN" sz="1100">
            <a:ln>
              <a:solidFill>
                <a:schemeClr val="tx1">
                  <a:lumMod val="95000"/>
                  <a:lumOff val="5000"/>
                </a:schemeClr>
              </a:solidFill>
            </a:ln>
            <a:solidFill>
              <a:schemeClr val="tx1">
                <a:lumMod val="95000"/>
                <a:lumOff val="5000"/>
              </a:schemeClr>
            </a:solidFill>
          </a:endParaRPr>
        </a:p>
      </xdr:txBody>
    </xdr:sp>
    <xdr:clientData/>
  </xdr:oneCellAnchor>
  <xdr:twoCellAnchor editAs="oneCell">
    <xdr:from>
      <xdr:col>3</xdr:col>
      <xdr:colOff>228599</xdr:colOff>
      <xdr:row>4</xdr:row>
      <xdr:rowOff>20754</xdr:rowOff>
    </xdr:from>
    <xdr:to>
      <xdr:col>3</xdr:col>
      <xdr:colOff>545158</xdr:colOff>
      <xdr:row>5</xdr:row>
      <xdr:rowOff>175259</xdr:rowOff>
    </xdr:to>
    <xdr:pic>
      <xdr:nvPicPr>
        <xdr:cNvPr id="6" name="Graphic 5" descr="Male profile with solid fill">
          <a:extLst>
            <a:ext uri="{FF2B5EF4-FFF2-40B4-BE49-F238E27FC236}">
              <a16:creationId xmlns:a16="http://schemas.microsoft.com/office/drawing/2014/main" id="{F1A96097-E5C8-280F-A22E-94C7AEB3C7F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flipH="1">
          <a:off x="2057399" y="752274"/>
          <a:ext cx="316559" cy="337385"/>
        </a:xfrm>
        <a:prstGeom prst="rect">
          <a:avLst/>
        </a:prstGeom>
      </xdr:spPr>
    </xdr:pic>
    <xdr:clientData/>
  </xdr:twoCellAnchor>
  <xdr:twoCellAnchor editAs="oneCell">
    <xdr:from>
      <xdr:col>5</xdr:col>
      <xdr:colOff>381000</xdr:colOff>
      <xdr:row>4</xdr:row>
      <xdr:rowOff>22860</xdr:rowOff>
    </xdr:from>
    <xdr:to>
      <xdr:col>6</xdr:col>
      <xdr:colOff>68580</xdr:colOff>
      <xdr:row>5</xdr:row>
      <xdr:rowOff>137160</xdr:rowOff>
    </xdr:to>
    <xdr:pic>
      <xdr:nvPicPr>
        <xdr:cNvPr id="16" name="Graphic 15" descr="Hourglass Finished with solid fill">
          <a:extLst>
            <a:ext uri="{FF2B5EF4-FFF2-40B4-BE49-F238E27FC236}">
              <a16:creationId xmlns:a16="http://schemas.microsoft.com/office/drawing/2014/main" id="{C8FBC681-10AC-EC07-CAEE-0121415E13A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429000" y="754380"/>
          <a:ext cx="297180" cy="297180"/>
        </a:xfrm>
        <a:prstGeom prst="rect">
          <a:avLst/>
        </a:prstGeom>
      </xdr:spPr>
    </xdr:pic>
    <xdr:clientData/>
  </xdr:twoCellAnchor>
  <xdr:twoCellAnchor editAs="oneCell">
    <xdr:from>
      <xdr:col>7</xdr:col>
      <xdr:colOff>441960</xdr:colOff>
      <xdr:row>4</xdr:row>
      <xdr:rowOff>28080</xdr:rowOff>
    </xdr:from>
    <xdr:to>
      <xdr:col>8</xdr:col>
      <xdr:colOff>129540</xdr:colOff>
      <xdr:row>5</xdr:row>
      <xdr:rowOff>106680</xdr:rowOff>
    </xdr:to>
    <xdr:pic>
      <xdr:nvPicPr>
        <xdr:cNvPr id="20" name="Graphic 19" descr="Stars with solid fill">
          <a:extLst>
            <a:ext uri="{FF2B5EF4-FFF2-40B4-BE49-F238E27FC236}">
              <a16:creationId xmlns:a16="http://schemas.microsoft.com/office/drawing/2014/main" id="{0E08EBA2-26CB-359C-A617-8C2B7CA56E6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709160" y="759600"/>
          <a:ext cx="297180" cy="261480"/>
        </a:xfrm>
        <a:prstGeom prst="rect">
          <a:avLst/>
        </a:prstGeom>
      </xdr:spPr>
    </xdr:pic>
    <xdr:clientData/>
  </xdr:twoCellAnchor>
  <xdr:twoCellAnchor editAs="oneCell">
    <xdr:from>
      <xdr:col>0</xdr:col>
      <xdr:colOff>198120</xdr:colOff>
      <xdr:row>4</xdr:row>
      <xdr:rowOff>60960</xdr:rowOff>
    </xdr:from>
    <xdr:to>
      <xdr:col>1</xdr:col>
      <xdr:colOff>263970</xdr:colOff>
      <xdr:row>23</xdr:row>
      <xdr:rowOff>42240</xdr:rowOff>
    </xdr:to>
    <mc:AlternateContent xmlns:mc="http://schemas.openxmlformats.org/markup-compatibility/2006" xmlns:a14="http://schemas.microsoft.com/office/drawing/2010/main">
      <mc:Choice Requires="a14">
        <xdr:graphicFrame macro="">
          <xdr:nvGraphicFramePr>
            <xdr:cNvPr id="21" name="Date (Month) 1">
              <a:extLst>
                <a:ext uri="{FF2B5EF4-FFF2-40B4-BE49-F238E27FC236}">
                  <a16:creationId xmlns:a16="http://schemas.microsoft.com/office/drawing/2014/main" id="{3C3B505C-856F-4B75-9F33-7EB032159B8C}"/>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98120" y="792480"/>
              <a:ext cx="675450" cy="345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556260</xdr:colOff>
      <xdr:row>7</xdr:row>
      <xdr:rowOff>22860</xdr:rowOff>
    </xdr:from>
    <xdr:to>
      <xdr:col>3</xdr:col>
      <xdr:colOff>525780</xdr:colOff>
      <xdr:row>9</xdr:row>
      <xdr:rowOff>99060</xdr:rowOff>
    </xdr:to>
    <xdr:graphicFrame macro="">
      <xdr:nvGraphicFramePr>
        <xdr:cNvPr id="15" name="Chart 14">
          <a:hlinkClick xmlns:r="http://schemas.openxmlformats.org/officeDocument/2006/relationships" r:id="rId1"/>
          <a:extLst>
            <a:ext uri="{FF2B5EF4-FFF2-40B4-BE49-F238E27FC236}">
              <a16:creationId xmlns:a16="http://schemas.microsoft.com/office/drawing/2014/main" id="{8DCE47D9-6823-4BA7-9DA6-75FA49E9D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594360</xdr:colOff>
      <xdr:row>6</xdr:row>
      <xdr:rowOff>160020</xdr:rowOff>
    </xdr:from>
    <xdr:to>
      <xdr:col>6</xdr:col>
      <xdr:colOff>68580</xdr:colOff>
      <xdr:row>9</xdr:row>
      <xdr:rowOff>68580</xdr:rowOff>
    </xdr:to>
    <xdr:graphicFrame macro="">
      <xdr:nvGraphicFramePr>
        <xdr:cNvPr id="2" name="Chart 1">
          <a:hlinkClick xmlns:r="http://schemas.openxmlformats.org/officeDocument/2006/relationships" r:id="rId11"/>
          <a:extLst>
            <a:ext uri="{FF2B5EF4-FFF2-40B4-BE49-F238E27FC236}">
              <a16:creationId xmlns:a16="http://schemas.microsoft.com/office/drawing/2014/main" id="{A9A89949-8FB4-4FE4-9A4E-3AF2619C2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121920</xdr:colOff>
      <xdr:row>7</xdr:row>
      <xdr:rowOff>0</xdr:rowOff>
    </xdr:from>
    <xdr:to>
      <xdr:col>8</xdr:col>
      <xdr:colOff>160020</xdr:colOff>
      <xdr:row>9</xdr:row>
      <xdr:rowOff>45720</xdr:rowOff>
    </xdr:to>
    <xdr:graphicFrame macro="">
      <xdr:nvGraphicFramePr>
        <xdr:cNvPr id="19" name="Chart 18">
          <a:hlinkClick xmlns:r="http://schemas.openxmlformats.org/officeDocument/2006/relationships" r:id="rId13"/>
          <a:extLst>
            <a:ext uri="{FF2B5EF4-FFF2-40B4-BE49-F238E27FC236}">
              <a16:creationId xmlns:a16="http://schemas.microsoft.com/office/drawing/2014/main" id="{8B11FB79-5AC1-43A6-808E-721EB649E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556259</xdr:colOff>
          <xdr:row>10</xdr:row>
          <xdr:rowOff>4268</xdr:rowOff>
        </xdr:from>
        <xdr:to>
          <xdr:col>8</xdr:col>
          <xdr:colOff>167640</xdr:colOff>
          <xdr:row>13</xdr:row>
          <xdr:rowOff>83820</xdr:rowOff>
        </xdr:to>
        <xdr:pic>
          <xdr:nvPicPr>
            <xdr:cNvPr id="25" name="Picture 24">
              <a:extLst>
                <a:ext uri="{FF2B5EF4-FFF2-40B4-BE49-F238E27FC236}">
                  <a16:creationId xmlns:a16="http://schemas.microsoft.com/office/drawing/2014/main" id="{652701AC-1D5C-9A81-C13E-61E35C05365D}"/>
                </a:ext>
              </a:extLst>
            </xdr:cNvPr>
            <xdr:cNvPicPr>
              <a:picLocks noChangeAspect="1" noChangeArrowheads="1"/>
              <a:extLst>
                <a:ext uri="{84589F7E-364E-4C9E-8A38-B11213B215E9}">
                  <a14:cameraTool cellRange="'Pivot Report'!$N$14:$Q$17" spid="_x0000_s1037"/>
                </a:ext>
              </a:extLst>
            </xdr:cNvPicPr>
          </xdr:nvPicPr>
          <xdr:blipFill>
            <a:blip xmlns:r="http://schemas.openxmlformats.org/officeDocument/2006/relationships" r:embed="rId15"/>
            <a:srcRect/>
            <a:stretch>
              <a:fillRect/>
            </a:stretch>
          </xdr:blipFill>
          <xdr:spPr bwMode="auto">
            <a:xfrm>
              <a:off x="1165859" y="1833068"/>
              <a:ext cx="3878581" cy="628192"/>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541020</xdr:colOff>
      <xdr:row>13</xdr:row>
      <xdr:rowOff>137160</xdr:rowOff>
    </xdr:from>
    <xdr:to>
      <xdr:col>8</xdr:col>
      <xdr:colOff>152400</xdr:colOff>
      <xdr:row>23</xdr:row>
      <xdr:rowOff>129540</xdr:rowOff>
    </xdr:to>
    <xdr:graphicFrame macro="">
      <xdr:nvGraphicFramePr>
        <xdr:cNvPr id="27" name="Chart 26">
          <a:extLst>
            <a:ext uri="{FF2B5EF4-FFF2-40B4-BE49-F238E27FC236}">
              <a16:creationId xmlns:a16="http://schemas.microsoft.com/office/drawing/2014/main" id="{B663C4A7-F32C-4D07-A53C-0134D69C3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3</xdr:col>
      <xdr:colOff>419100</xdr:colOff>
      <xdr:row>22</xdr:row>
      <xdr:rowOff>53340</xdr:rowOff>
    </xdr:from>
    <xdr:ext cx="1699260" cy="213360"/>
    <xdr:sp macro="" textlink="">
      <xdr:nvSpPr>
        <xdr:cNvPr id="30" name="TextBox 29">
          <a:extLst>
            <a:ext uri="{FF2B5EF4-FFF2-40B4-BE49-F238E27FC236}">
              <a16:creationId xmlns:a16="http://schemas.microsoft.com/office/drawing/2014/main" id="{B251A248-614B-38CD-E67B-23BCBEB0B6AB}"/>
            </a:ext>
          </a:extLst>
        </xdr:cNvPr>
        <xdr:cNvSpPr txBox="1"/>
      </xdr:nvSpPr>
      <xdr:spPr>
        <a:xfrm>
          <a:off x="2247900" y="4076700"/>
          <a:ext cx="1699260" cy="213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1050" b="1" i="1"/>
            <a:t>No.of Patient</a:t>
          </a:r>
          <a:r>
            <a:rPr lang="en-IN" sz="1050" b="1" i="1" baseline="0"/>
            <a:t> by Age Group</a:t>
          </a:r>
          <a:endParaRPr lang="en-IN" sz="1050" b="1" i="1"/>
        </a:p>
      </xdr:txBody>
    </xdr:sp>
    <xdr:clientData/>
  </xdr:oneCellAnchor>
  <xdr:twoCellAnchor>
    <xdr:from>
      <xdr:col>8</xdr:col>
      <xdr:colOff>259080</xdr:colOff>
      <xdr:row>0</xdr:row>
      <xdr:rowOff>114300</xdr:rowOff>
    </xdr:from>
    <xdr:to>
      <xdr:col>12</xdr:col>
      <xdr:colOff>45720</xdr:colOff>
      <xdr:row>10</xdr:row>
      <xdr:rowOff>7620</xdr:rowOff>
    </xdr:to>
    <xdr:graphicFrame macro="">
      <xdr:nvGraphicFramePr>
        <xdr:cNvPr id="31" name="Chart 30">
          <a:extLst>
            <a:ext uri="{FF2B5EF4-FFF2-40B4-BE49-F238E27FC236}">
              <a16:creationId xmlns:a16="http://schemas.microsoft.com/office/drawing/2014/main" id="{7C816DB4-2630-435E-B2A8-DF855BF2B1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8</xdr:col>
      <xdr:colOff>373380</xdr:colOff>
      <xdr:row>8</xdr:row>
      <xdr:rowOff>114300</xdr:rowOff>
    </xdr:from>
    <xdr:ext cx="1927860" cy="248851"/>
    <xdr:sp macro="" textlink="">
      <xdr:nvSpPr>
        <xdr:cNvPr id="32" name="TextBox 31">
          <a:extLst>
            <a:ext uri="{FF2B5EF4-FFF2-40B4-BE49-F238E27FC236}">
              <a16:creationId xmlns:a16="http://schemas.microsoft.com/office/drawing/2014/main" id="{84474CF4-3383-C1AB-F54E-47E834902F07}"/>
            </a:ext>
          </a:extLst>
        </xdr:cNvPr>
        <xdr:cNvSpPr txBox="1"/>
      </xdr:nvSpPr>
      <xdr:spPr>
        <a:xfrm flipH="1">
          <a:off x="5250180" y="1577340"/>
          <a:ext cx="1927860"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000" b="1" i="1"/>
            <a:t>Patient</a:t>
          </a:r>
          <a:r>
            <a:rPr lang="en-IN" sz="1000" b="1" i="1" baseline="0"/>
            <a:t> Attend Status</a:t>
          </a:r>
          <a:endParaRPr lang="en-IN" sz="1000" b="1" i="1"/>
        </a:p>
      </xdr:txBody>
    </xdr:sp>
    <xdr:clientData/>
  </xdr:oneCellAnchor>
  <xdr:twoCellAnchor>
    <xdr:from>
      <xdr:col>12</xdr:col>
      <xdr:colOff>76200</xdr:colOff>
      <xdr:row>0</xdr:row>
      <xdr:rowOff>83820</xdr:rowOff>
    </xdr:from>
    <xdr:to>
      <xdr:col>15</xdr:col>
      <xdr:colOff>312420</xdr:colOff>
      <xdr:row>10</xdr:row>
      <xdr:rowOff>45720</xdr:rowOff>
    </xdr:to>
    <xdr:graphicFrame macro="">
      <xdr:nvGraphicFramePr>
        <xdr:cNvPr id="33" name="Chart 32">
          <a:extLst>
            <a:ext uri="{FF2B5EF4-FFF2-40B4-BE49-F238E27FC236}">
              <a16:creationId xmlns:a16="http://schemas.microsoft.com/office/drawing/2014/main" id="{5D141238-222E-475C-AF06-E09BF93A1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12</xdr:col>
      <xdr:colOff>342900</xdr:colOff>
      <xdr:row>8</xdr:row>
      <xdr:rowOff>144780</xdr:rowOff>
    </xdr:from>
    <xdr:ext cx="1609671" cy="213360"/>
    <xdr:sp macro="" textlink="">
      <xdr:nvSpPr>
        <xdr:cNvPr id="35" name="TextBox 34">
          <a:extLst>
            <a:ext uri="{FF2B5EF4-FFF2-40B4-BE49-F238E27FC236}">
              <a16:creationId xmlns:a16="http://schemas.microsoft.com/office/drawing/2014/main" id="{44E1512B-7570-B0F6-E563-3FE5F7EFC4B5}"/>
            </a:ext>
          </a:extLst>
        </xdr:cNvPr>
        <xdr:cNvSpPr txBox="1"/>
      </xdr:nvSpPr>
      <xdr:spPr>
        <a:xfrm>
          <a:off x="7658100" y="1607820"/>
          <a:ext cx="1609671" cy="213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000" b="1" i="1"/>
            <a:t>Gender wise Analysis</a:t>
          </a:r>
        </a:p>
      </xdr:txBody>
    </xdr:sp>
    <xdr:clientData/>
  </xdr:oneCellAnchor>
  <xdr:twoCellAnchor>
    <xdr:from>
      <xdr:col>8</xdr:col>
      <xdr:colOff>228600</xdr:colOff>
      <xdr:row>10</xdr:row>
      <xdr:rowOff>68580</xdr:rowOff>
    </xdr:from>
    <xdr:to>
      <xdr:col>15</xdr:col>
      <xdr:colOff>259080</xdr:colOff>
      <xdr:row>23</xdr:row>
      <xdr:rowOff>76200</xdr:rowOff>
    </xdr:to>
    <xdr:graphicFrame macro="">
      <xdr:nvGraphicFramePr>
        <xdr:cNvPr id="36" name="Chart 35">
          <a:extLst>
            <a:ext uri="{FF2B5EF4-FFF2-40B4-BE49-F238E27FC236}">
              <a16:creationId xmlns:a16="http://schemas.microsoft.com/office/drawing/2014/main" id="{29435826-1CF4-4459-B929-209964C190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8</xdr:col>
      <xdr:colOff>434340</xdr:colOff>
      <xdr:row>21</xdr:row>
      <xdr:rowOff>167640</xdr:rowOff>
    </xdr:from>
    <xdr:ext cx="3886200" cy="274320"/>
    <xdr:sp macro="" textlink="">
      <xdr:nvSpPr>
        <xdr:cNvPr id="37" name="TextBox 36">
          <a:extLst>
            <a:ext uri="{FF2B5EF4-FFF2-40B4-BE49-F238E27FC236}">
              <a16:creationId xmlns:a16="http://schemas.microsoft.com/office/drawing/2014/main" id="{F050CB40-85B3-93A8-8C72-4EE2FF94984C}"/>
            </a:ext>
          </a:extLst>
        </xdr:cNvPr>
        <xdr:cNvSpPr txBox="1"/>
      </xdr:nvSpPr>
      <xdr:spPr>
        <a:xfrm>
          <a:off x="5311140" y="4008120"/>
          <a:ext cx="3886200" cy="2743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IN" sz="1100"/>
            <a:t> </a:t>
          </a:r>
          <a:r>
            <a:rPr lang="en-IN" sz="1100" b="1" i="1"/>
            <a:t>No.  of Patient by Department Referal</a:t>
          </a:r>
        </a:p>
      </xdr:txBody>
    </xdr:sp>
    <xdr:clientData/>
  </xdr:oneCellAnchor>
  <xdr:twoCellAnchor editAs="oneCell">
    <xdr:from>
      <xdr:col>6</xdr:col>
      <xdr:colOff>152400</xdr:colOff>
      <xdr:row>0</xdr:row>
      <xdr:rowOff>129540</xdr:rowOff>
    </xdr:from>
    <xdr:to>
      <xdr:col>8</xdr:col>
      <xdr:colOff>83820</xdr:colOff>
      <xdr:row>3</xdr:row>
      <xdr:rowOff>38100</xdr:rowOff>
    </xdr:to>
    <mc:AlternateContent xmlns:mc="http://schemas.openxmlformats.org/markup-compatibility/2006" xmlns:a14="http://schemas.microsoft.com/office/drawing/2010/main">
      <mc:Choice Requires="a14">
        <xdr:graphicFrame macro="">
          <xdr:nvGraphicFramePr>
            <xdr:cNvPr id="38" name="Date (Year)">
              <a:extLst>
                <a:ext uri="{FF2B5EF4-FFF2-40B4-BE49-F238E27FC236}">
                  <a16:creationId xmlns:a16="http://schemas.microsoft.com/office/drawing/2014/main" id="{433DABB2-2792-49BF-B04C-769766FA567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810000" y="129540"/>
              <a:ext cx="1150620" cy="45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403860</xdr:colOff>
      <xdr:row>1</xdr:row>
      <xdr:rowOff>45720</xdr:rowOff>
    </xdr:from>
    <xdr:to>
      <xdr:col>17</xdr:col>
      <xdr:colOff>144780</xdr:colOff>
      <xdr:row>22</xdr:row>
      <xdr:rowOff>160020</xdr:rowOff>
    </xdr:to>
    <xdr:graphicFrame macro="">
      <xdr:nvGraphicFramePr>
        <xdr:cNvPr id="2" name="Chart 1">
          <a:extLst>
            <a:ext uri="{FF2B5EF4-FFF2-40B4-BE49-F238E27FC236}">
              <a16:creationId xmlns:a16="http://schemas.microsoft.com/office/drawing/2014/main" id="{D59490F9-06A4-4650-B1E0-0F17D31A3E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0.00503</cdr:x>
      <cdr:y>0.01341</cdr:y>
    </cdr:from>
    <cdr:to>
      <cdr:x>0.05195</cdr:x>
      <cdr:y>0.12609</cdr:y>
    </cdr:to>
    <cdr:pic>
      <cdr:nvPicPr>
        <cdr:cNvPr id="3"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E518B66-FB45-7F37-CE17-FE9684A2C37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74134" cy="42672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594360</xdr:colOff>
      <xdr:row>2</xdr:row>
      <xdr:rowOff>83820</xdr:rowOff>
    </xdr:from>
    <xdr:to>
      <xdr:col>18</xdr:col>
      <xdr:colOff>144780</xdr:colOff>
      <xdr:row>24</xdr:row>
      <xdr:rowOff>129540</xdr:rowOff>
    </xdr:to>
    <xdr:graphicFrame macro="">
      <xdr:nvGraphicFramePr>
        <xdr:cNvPr id="2" name="Chart 1">
          <a:extLst>
            <a:ext uri="{FF2B5EF4-FFF2-40B4-BE49-F238E27FC236}">
              <a16:creationId xmlns:a16="http://schemas.microsoft.com/office/drawing/2014/main" id="{3C94484A-6D8A-45CB-B464-7F8081B8E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xdr:colOff>
      <xdr:row>2</xdr:row>
      <xdr:rowOff>99060</xdr:rowOff>
    </xdr:from>
    <xdr:to>
      <xdr:col>1</xdr:col>
      <xdr:colOff>489374</xdr:colOff>
      <xdr:row>4</xdr:row>
      <xdr:rowOff>160020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E518B66-FB45-7F37-CE17-FE9684A2C3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4840" y="464820"/>
          <a:ext cx="474134" cy="4267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342900</xdr:colOff>
      <xdr:row>0</xdr:row>
      <xdr:rowOff>121920</xdr:rowOff>
    </xdr:from>
    <xdr:to>
      <xdr:col>17</xdr:col>
      <xdr:colOff>396240</xdr:colOff>
      <xdr:row>22</xdr:row>
      <xdr:rowOff>53340</xdr:rowOff>
    </xdr:to>
    <xdr:graphicFrame macro="">
      <xdr:nvGraphicFramePr>
        <xdr:cNvPr id="3" name="Chart 2">
          <a:hlinkClick xmlns:r="http://schemas.openxmlformats.org/officeDocument/2006/relationships" r:id="rId1"/>
          <a:extLst>
            <a:ext uri="{FF2B5EF4-FFF2-40B4-BE49-F238E27FC236}">
              <a16:creationId xmlns:a16="http://schemas.microsoft.com/office/drawing/2014/main" id="{C9212A48-FB0B-44D9-A748-D426104E65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0.01536</cdr:x>
      <cdr:y>0.02312</cdr:y>
    </cdr:from>
    <cdr:to>
      <cdr:x>0.05706</cdr:x>
      <cdr:y>0.11753</cdr:y>
    </cdr:to>
    <cdr:pic>
      <cdr:nvPicPr>
        <cdr:cNvPr id="2" name="Graphic 3"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8962B19-C5AD-E401-AF00-F084445892C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60020" y="91439"/>
          <a:ext cx="434340" cy="373381"/>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4560183" createdVersion="5" refreshedVersion="8" minRefreshableVersion="3" recordCount="0" supportSubquery="1" supportAdvancedDrill="1" xr:uid="{F17D9A72-6380-4D76-84D0-9C213269401E}">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4791668" createdVersion="5" refreshedVersion="8" minRefreshableVersion="3" recordCount="0" supportSubquery="1" supportAdvancedDrill="1" xr:uid="{FEAA98FB-6713-4648-94C8-4A812B59679C}">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5023145" createdVersion="5" refreshedVersion="8" minRefreshableVersion="3" recordCount="0" supportSubquery="1" supportAdvancedDrill="1" xr:uid="{4567B364-ADD5-490C-9DBD-95A10285F2CB}">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525463" createdVersion="5" refreshedVersion="8" minRefreshableVersion="3" recordCount="0" supportSubquery="1" supportAdvancedDrill="1" xr:uid="{8CA94DC1-71E6-4076-8350-46694EBC8DDB}">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583333" createdVersion="5" refreshedVersion="8" minRefreshableVersion="3" recordCount="0" supportSubquery="1" supportAdvancedDrill="1" xr:uid="{CE874349-9A6A-4777-954E-0010EECD7D32}">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6412038" createdVersion="5" refreshedVersion="8" minRefreshableVersion="3" recordCount="0" supportSubquery="1" supportAdvancedDrill="1" xr:uid="{C2EBB802-5B11-4CCB-B3CA-32513B55A432}">
  <cacheSource type="external" connectionId="3"/>
  <cacheFields count="4">
    <cacheField name="[Calendar_Table].[Date (Day)].[Date (Day)]" caption="Date (Day)" numFmtId="0" hierarchy="2" level="1">
      <sharedItems count="30">
        <s v="1-Jun"/>
        <s v="2-Jun"/>
        <s v="3-Jun"/>
        <s v="4-Jun"/>
        <s v="5-Jun"/>
        <s v="6-Jun"/>
        <s v="7-Jun"/>
        <s v="8-Jun"/>
        <s v="9-Jun"/>
        <s v="10-Jun"/>
        <s v="11-Jun"/>
        <s v="12-Jun"/>
        <s v="13-Jun"/>
        <s v="14-Jun"/>
        <s v="15-Jun"/>
        <s v="16-Jun"/>
        <s v="17-Jun"/>
        <s v="18-Jun"/>
        <s v="19-Jun"/>
        <s v="20-Jun"/>
        <s v="21-Jun"/>
        <s v="22-Jun"/>
        <s v="23-Jun"/>
        <s v="24-Jun"/>
        <s v="25-Jun"/>
        <s v="26-Jun"/>
        <s v="27-Jun"/>
        <s v="28-Jun"/>
        <s v="29-Jun"/>
        <s v="30-Ju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6875" createdVersion="5" refreshedVersion="8" minRefreshableVersion="3" recordCount="0" supportSubquery="1" supportAdvancedDrill="1" xr:uid="{619D393A-F220-4ED1-BF19-41A5C36814F4}">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DOC-20260915-WA0014].[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2" memberValueDatatype="130" unbalanced="0">
      <fieldsUsage count="2">
        <fieldUsage x="-1"/>
        <fieldUsage x="2"/>
      </fieldsUsage>
    </cacheHierarchy>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74537" createdVersion="5" refreshedVersion="8" minRefreshableVersion="3" recordCount="0" supportSubquery="1" supportAdvancedDrill="1" xr:uid="{C2175EC0-FEB8-4028-8917-7291371CECD8}">
  <cacheSource type="external" connectionId="3"/>
  <cacheFields count="4">
    <cacheField name="[Calendar_Table].[Date (Month)].[Date (Month)]" caption="Date (Month)" numFmtId="0" hierarchy="1" level="1">
      <sharedItems containsSemiMixedTypes="0" containsNonDate="0" containsString="0"/>
    </cacheField>
    <cacheField name="[DOC-20260915-WA0014].[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2" memberValueDatatype="130" unbalanced="0">
      <fieldsUsage count="2">
        <fieldUsage x="-1"/>
        <fieldUsage x="1"/>
      </fieldsUsage>
    </cacheHierarchy>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8032408" createdVersion="5" refreshedVersion="8" minRefreshableVersion="3" recordCount="0" supportSubquery="1" supportAdvancedDrill="1" xr:uid="{F0B14E76-32ED-4D77-A9E7-F58A96047882}">
  <cacheSource type="external" connectionId="3"/>
  <cacheFields count="4">
    <cacheField name="[Calendar_Table].[Date (Month)].[Date (Month)]" caption="Date (Month)" numFmtId="0" hierarchy="1" level="1">
      <sharedItems containsSemiMixedTypes="0" containsNonDate="0" containsString="0"/>
    </cacheField>
    <cacheField name="[DOC-20260915-WA0014].[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8611109" createdVersion="5" refreshedVersion="8" minRefreshableVersion="3" recordCount="0" supportSubquery="1" supportAdvancedDrill="1" xr:uid="{52E239F5-759B-4D79-A4DD-B4656A4604FB}">
  <cacheSource type="external" connectionId="3"/>
  <cacheFields count="4">
    <cacheField name="[Calendar_Table].[Date (Month)].[Date (Month)]" caption="Date (Month)" numFmtId="0" hierarchy="1" level="1">
      <sharedItems containsSemiMixedTypes="0" containsNonDate="0" containsString="0"/>
    </cacheField>
    <cacheField name="[DOC-20260915-WA0014].[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2" memberValueDatatype="130" unbalanced="0">
      <fieldsUsage count="2">
        <fieldUsage x="-1"/>
        <fieldUsage x="1"/>
      </fieldsUsage>
    </cacheHierarchy>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9074071" createdVersion="5" refreshedVersion="8" minRefreshableVersion="3" recordCount="0" supportSubquery="1" supportAdvancedDrill="1" xr:uid="{CE189AB7-AB09-496D-B4B5-4E451DEC1197}">
  <cacheSource type="external" connectionId="3"/>
  <cacheFields count="4">
    <cacheField name="[Calendar_Table].[Date (Month)].[Date (Month)]" caption="Date (Month)" numFmtId="0" hierarchy="1" level="1">
      <sharedItems containsSemiMixedTypes="0" containsNonDate="0" containsString="0"/>
    </cacheField>
    <cacheField name="[DOC-20260915-WA0014].[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2" memberValueDatatype="130" unbalanced="0">
      <fieldsUsage count="2">
        <fieldUsage x="-1"/>
        <fieldUsage x="1"/>
      </fieldsUsage>
    </cacheHierarchy>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7.856349652779" createdVersion="5" refreshedVersion="8" minRefreshableVersion="3" recordCount="0" supportSubquery="1" supportAdvancedDrill="1" xr:uid="{5287448A-F523-42BB-9706-70A05A9CA32F}">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DOC-20260915-WA0014].[Patient Id]" caption="Patient Id" attribute="1" defaultMemberUniqueName="[DOC-20260915-WA0014].[Patient Id].[All]" allUniqueName="[DOC-20260915-WA0014].[Patient Id].[All]" dimensionUniqueName="[DOC-20260915-WA0014]" displayFolder="" count="2"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2"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2" memberValueDatatype="7" unbalanced="0"/>
    <cacheHierarchy uniqueName="[DOC-20260915-WA0014].[Merged]" caption="Merged" attribute="1" defaultMemberUniqueName="[DOC-20260915-WA0014].[Merged].[All]" allUniqueName="[DOC-20260915-WA0014].[Merged].[All]" dimensionUniqueName="[DOC-20260915-WA0014]" displayFolder="" count="2"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2" memberValueDatatype="130" unbalanced="0"/>
    <cacheHierarchy uniqueName="[DOC-20260915-WA0014].[Patient Age]" caption="Patient Age" attribute="1" defaultMemberUniqueName="[DOC-20260915-WA0014].[Patient Age].[All]" allUniqueName="[DOC-20260915-WA0014].[Patient Age].[All]" dimensionUniqueName="[DOC-20260915-WA0014]" displayFolder="" count="2" memberValueDatatype="20" unbalanced="0"/>
    <cacheHierarchy uniqueName="[DOC-20260915-WA0014].[Patient Race]" caption="Patient Race" attribute="1" defaultMemberUniqueName="[DOC-20260915-WA0014].[Patient Race].[All]" allUniqueName="[DOC-20260915-WA0014].[Patient Race].[All]" dimensionUniqueName="[DOC-20260915-WA0014]" displayFolder="" count="2"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2"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2"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2"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2" memberValueDatatype="20" unbalanced="0"/>
    <cacheHierarchy uniqueName="[DOC-20260915-WA0014].[Age Group]" caption="Age Group" attribute="1" defaultMemberUniqueName="[DOC-20260915-WA0014].[Age Group].[All]" allUniqueName="[DOC-20260915-WA0014].[Age Group].[All]" dimensionUniqueName="[DOC-20260915-WA0014]" displayFolder="" count="2"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DOC-20260915-WA0014" uniqueName="[DOC-20260915-WA0014]" caption="DOC-20260915-WA0014"/>
    <dimension measure="1" name="Measures" uniqueName="[Measures]" caption="Measures"/>
  </dimensions>
  <measureGroups count="2">
    <measureGroup name="Calendar_Table" caption="Calendar_Table"/>
    <measureGroup name="DOC-20260915-WA0014" caption="DOC-20260915-WA0014"/>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6.663485763886" createdVersion="3" refreshedVersion="8" minRefreshableVersion="3" recordCount="0" supportSubquery="1" supportAdvancedDrill="1" xr:uid="{1ABB4A46-C275-4A16-AAAC-F31E8A5FC106}">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DOC-20260915-WA0014].[Patient Id]" caption="Patient Id" attribute="1" defaultMemberUniqueName="[DOC-20260915-WA0014].[Patient Id].[All]" allUniqueName="[DOC-20260915-WA0014].[Patient Id].[All]" dimensionUniqueName="[DOC-20260915-WA0014]" displayFolder="" count="0" memberValueDatatype="130" unbalanced="0"/>
    <cacheHierarchy uniqueName="[DOC-20260915-WA0014].[Patient Admission Date]" caption="Patient Admission Date" attribute="1" time="1" defaultMemberUniqueName="[DOC-20260915-WA0014].[Patient Admission Date].[All]" allUniqueName="[DOC-20260915-WA0014].[Patient Admission Date].[All]" dimensionUniqueName="[DOC-20260915-WA0014]" displayFolder="" count="0" memberValueDatatype="7" unbalanced="0"/>
    <cacheHierarchy uniqueName="[DOC-20260915-WA0014].[Patient Admission Time]" caption="Patient Admission Time" attribute="1" time="1" defaultMemberUniqueName="[DOC-20260915-WA0014].[Patient Admission Time].[All]" allUniqueName="[DOC-20260915-WA0014].[Patient Admission Time].[All]" dimensionUniqueName="[DOC-20260915-WA0014]" displayFolder="" count="0" memberValueDatatype="7" unbalanced="0"/>
    <cacheHierarchy uniqueName="[DOC-20260915-WA0014].[Merged]" caption="Merged" attribute="1" defaultMemberUniqueName="[DOC-20260915-WA0014].[Merged].[All]" allUniqueName="[DOC-20260915-WA0014].[Merged].[All]" dimensionUniqueName="[DOC-20260915-WA0014]" displayFolder="" count="0" memberValueDatatype="130" unbalanced="0"/>
    <cacheHierarchy uniqueName="[DOC-20260915-WA0014].[Patient Gender]" caption="Patient Gender" attribute="1" defaultMemberUniqueName="[DOC-20260915-WA0014].[Patient Gender].[All]" allUniqueName="[DOC-20260915-WA0014].[Patient Gender].[All]" dimensionUniqueName="[DOC-20260915-WA0014]" displayFolder="" count="0" memberValueDatatype="130" unbalanced="0"/>
    <cacheHierarchy uniqueName="[DOC-20260915-WA0014].[Patient Age]" caption="Patient Age" attribute="1" defaultMemberUniqueName="[DOC-20260915-WA0014].[Patient Age].[All]" allUniqueName="[DOC-20260915-WA0014].[Patient Age].[All]" dimensionUniqueName="[DOC-20260915-WA0014]" displayFolder="" count="0" memberValueDatatype="20" unbalanced="0"/>
    <cacheHierarchy uniqueName="[DOC-20260915-WA0014].[Patient Race]" caption="Patient Race" attribute="1" defaultMemberUniqueName="[DOC-20260915-WA0014].[Patient Race].[All]" allUniqueName="[DOC-20260915-WA0014].[Patient Race].[All]" dimensionUniqueName="[DOC-20260915-WA0014]" displayFolder="" count="0" memberValueDatatype="130" unbalanced="0"/>
    <cacheHierarchy uniqueName="[DOC-20260915-WA0014].[Department Referral]" caption="Department Referral" attribute="1" defaultMemberUniqueName="[DOC-20260915-WA0014].[Department Referral].[All]" allUniqueName="[DOC-20260915-WA0014].[Department Referral].[All]" dimensionUniqueName="[DOC-20260915-WA0014]" displayFolder="" count="0" memberValueDatatype="130" unbalanced="0"/>
    <cacheHierarchy uniqueName="[DOC-20260915-WA0014].[Patient Admission Flag]" caption="Patient Admission Flag" attribute="1" defaultMemberUniqueName="[DOC-20260915-WA0014].[Patient Admission Flag].[All]" allUniqueName="[DOC-20260915-WA0014].[Patient Admission Flag].[All]" dimensionUniqueName="[DOC-20260915-WA0014]" displayFolder="" count="0" memberValueDatatype="130" unbalanced="0"/>
    <cacheHierarchy uniqueName="[DOC-20260915-WA0014].[Patient Satisfaction Score]" caption="Patient Satisfaction Score" attribute="1" defaultMemberUniqueName="[DOC-20260915-WA0014].[Patient Satisfaction Score].[All]" allUniqueName="[DOC-20260915-WA0014].[Patient Satisfaction Score].[All]" dimensionUniqueName="[DOC-20260915-WA0014]" displayFolder="" count="0" memberValueDatatype="20" unbalanced="0"/>
    <cacheHierarchy uniqueName="[DOC-20260915-WA0014].[Patient Waittime]" caption="Patient Waittime" attribute="1" defaultMemberUniqueName="[DOC-20260915-WA0014].[Patient Waittime].[All]" allUniqueName="[DOC-20260915-WA0014].[Patient Waittime].[All]" dimensionUniqueName="[DOC-20260915-WA0014]" displayFolder="" count="0" memberValueDatatype="20" unbalanced="0"/>
    <cacheHierarchy uniqueName="[DOC-20260915-WA0014].[Age Group]" caption="Age Group" attribute="1" defaultMemberUniqueName="[DOC-20260915-WA0014].[Age Group].[All]" allUniqueName="[DOC-20260915-WA0014].[Age Group].[All]" dimensionUniqueName="[DOC-20260915-WA0014]" displayFolder="" count="0" memberValueDatatype="130" unbalanced="0"/>
    <cacheHierarchy uniqueName="[DOC-20260915-WA0014].[Patient attend status]" caption="Patient attend status" attribute="1" defaultMemberUniqueName="[DOC-20260915-WA0014].[Patient attend status].[All]" allUniqueName="[DOC-20260915-WA0014].[Patient attend status].[All]" dimensionUniqueName="[DOC-20260915-WA0014]"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DOC-20260915-WA0014]" caption="__XL_Count DOC-20260915-WA0014" measure="1" displayFolder="" measureGroup="DOC-20260915-WA0014"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DOC-20260915-WA0014"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DOC-20260915-WA0014"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DOC-20260915-WA0014"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DOC-20260915-WA0014"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DOC-20260915-WA0014"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DOC-20260915-WA0014"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DOC-20260915-WA0014"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DOC-20260915-WA0014"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588491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D8D135-9281-4704-B0D5-4119F04B8904}" name="PivotTable3" cacheId="384" applyNumberFormats="0" applyBorderFormats="0" applyFontFormats="0" applyPatternFormats="0" applyAlignmentFormats="0" applyWidthHeightFormats="1" dataCaption="Values" tag="2a7d913a-4c46-4f01-aa22-d0b2db041010" updatedVersion="8" minRefreshableVersion="3"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7">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028683-36C7-4858-9DF2-79BF80A717D1}" name="PivotTable2" cacheId="381" applyNumberFormats="0" applyBorderFormats="0" applyFontFormats="0" applyPatternFormats="0" applyAlignmentFormats="0" applyWidthHeightFormats="1" dataCaption="Values" tag="65b6f562-78dc-47dd-bfda-9a8f25ac56f8" updatedVersion="8" minRefreshableVersion="3"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88">
      <pivotArea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B2ABF9-5F3B-4B6E-A8F2-E50B63125D51}" name="PivotTable10" cacheId="399" applyNumberFormats="0" applyBorderFormats="0" applyFontFormats="0" applyPatternFormats="0" applyAlignmentFormats="0" applyWidthHeightFormats="1" dataCaption="Values" tag="2a7d913a-4c46-4f01-aa22-d0b2db041010" updatedVersion="8" minRefreshableVersion="3" itemPrintTitles="1" createdVersion="5" indent="0" outline="1" outlineData="1" multipleFieldFilters="0" chartFormat="46">
  <location ref="N33:O3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190">
      <pivotArea outline="0" collapsedLevelsAreSubtotals="1" fieldPosition="0"/>
    </format>
    <format dxfId="189">
      <pivotArea grandRow="1" outline="0" collapsedLevelsAreSubtotals="1" fieldPosition="0"/>
    </format>
  </formats>
  <chartFormats count="3">
    <chartFormat chart="42" format="4" series="1">
      <pivotArea type="data" outline="0" fieldPosition="0">
        <references count="1">
          <reference field="4294967294" count="1" selected="0">
            <x v="0"/>
          </reference>
        </references>
      </pivotArea>
    </chartFormat>
    <chartFormat chart="42" format="5">
      <pivotArea type="data" outline="0" fieldPosition="0">
        <references count="2">
          <reference field="4294967294" count="1" selected="0">
            <x v="0"/>
          </reference>
          <reference field="1" count="1" selected="0">
            <x v="0"/>
          </reference>
        </references>
      </pivotArea>
    </chartFormat>
    <chartFormat chart="4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AE5274-9DF1-4292-8970-8A2B83E0CE4E}" name="PivotTable6" cacheId="390" applyNumberFormats="0" applyBorderFormats="0" applyFontFormats="0" applyPatternFormats="0" applyAlignmentFormats="0" applyWidthHeightFormats="1" dataCaption="Values" tag="de328358-75d6-46b4-b916-310e8e02c192" updatedVersion="8" minRefreshableVersion="3" itemPrintTitles="1" createdVersion="5" indent="0" outline="1" outlineData="1" multipleFieldFilters="0" chartFormat="58">
  <location ref="K6:L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1">
    <format dxfId="191">
      <pivotArea outline="0" collapsedLevelsAreSubtotals="1" fieldPosition="0"/>
    </format>
  </formats>
  <chartFormats count="2">
    <chartFormat chart="50" format="2" series="1">
      <pivotArea type="data" outline="0" fieldPosition="0">
        <references count="1">
          <reference field="4294967294" count="1" selected="0">
            <x v="0"/>
          </reference>
        </references>
      </pivotArea>
    </chartFormat>
    <chartFormat chart="5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385754-F9F5-4E05-8BB7-DCE96CBF2125}" name="PivotTable9" cacheId="396" applyNumberFormats="0" applyBorderFormats="0" applyFontFormats="0" applyPatternFormats="0" applyAlignmentFormats="0" applyWidthHeightFormats="1" dataCaption="Values" tag="2a7d913a-4c46-4f01-aa22-d0b2db041010" updatedVersion="8" minRefreshableVersion="3" itemPrintTitles="1" createdVersion="5" indent="0" outline="1" outlineData="1" multipleFieldFilters="0" chartFormat="40">
  <location ref="N21:O3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193">
      <pivotArea outline="0" collapsedLevelsAreSubtotals="1" fieldPosition="0"/>
    </format>
    <format dxfId="192">
      <pivotArea grandRow="1" outline="0" collapsedLevelsAreSubtotals="1" fieldPosition="0"/>
    </format>
  </formats>
  <chartFormats count="1">
    <chartFormat chart="2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E6DBE78-C51F-492F-932F-A409AEA6F22C}" name="PivotTable5" cacheId="387" applyNumberFormats="0" applyBorderFormats="0" applyFontFormats="0" applyPatternFormats="0" applyAlignmentFormats="0" applyWidthHeightFormats="1" dataCaption="Values" tag="de328358-75d6-46b4-b916-310e8e02c192" updatedVersion="8" minRefreshableVersion="3" itemPrintTitles="1" createdVersion="5" indent="0" outline="1" outlineData="1" multipleFieldFilters="0" chartFormat="49">
  <location ref="G6:H3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194">
      <pivotArea outline="0" collapsedLevelsAreSubtotals="1" fieldPosition="0"/>
    </format>
  </formats>
  <chartFormats count="2">
    <chartFormat chart="31"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5CB3A7-6477-4DEE-977E-EB017BA896B3}" name="PivotTable8" cacheId="393" applyNumberFormats="0" applyBorderFormats="0" applyFontFormats="0" applyPatternFormats="0" applyAlignmentFormats="0" applyWidthHeightFormats="1" dataCaption="Values" tag="2a7d913a-4c46-4f01-aa22-d0b2db041010" updatedVersion="8" minRefreshableVersion="3" itemPrintTitles="1" createdVersion="5" indent="0" outline="1" outlineData="1" multipleFieldFilters="0" chartFormat="27">
  <location ref="N8:P11"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3">
    <format dxfId="197">
      <pivotArea outline="0" collapsedLevelsAreSubtotals="1" fieldPosition="0"/>
    </format>
    <format dxfId="196">
      <pivotArea grandRow="1" outline="0" collapsedLevelsAreSubtotals="1" fieldPosition="0"/>
    </format>
    <format dxfId="195">
      <pivotArea outline="0" fieldPosition="0">
        <references count="1">
          <reference field="4294967294" count="1">
            <x v="1"/>
          </reference>
        </references>
      </pivotArea>
    </format>
  </formats>
  <chartFormats count="4">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 chart="23" format="2">
      <pivotArea type="data" outline="0" fieldPosition="0">
        <references count="2">
          <reference field="4294967294" count="1" selected="0">
            <x v="0"/>
          </reference>
          <reference field="2" count="1" selected="0">
            <x v="1"/>
          </reference>
        </references>
      </pivotArea>
    </chartFormat>
    <chartFormat chart="23"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FA86B9-DDFA-46B5-90FE-07CCA476FAF4}" name="PivotTable13" cacheId="408" applyNumberFormats="0" applyBorderFormats="0" applyFontFormats="0" applyPatternFormats="0" applyAlignmentFormats="0" applyWidthHeightFormats="1" dataCaption="Values" tag="2a7d913a-4c46-4f01-aa22-d0b2db041010" updatedVersion="8" minRefreshableVersion="3" itemPrintTitles="1" createdVersion="5" indent="0" outline="1" outlineData="1" multipleFieldFilters="0" chartFormat="40">
  <location ref="S22:S2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2">
    <format dxfId="199">
      <pivotArea outline="0" collapsedLevelsAreSubtotals="1" fieldPosition="0"/>
    </format>
    <format dxfId="198">
      <pivotArea grandRow="1" outline="0" collapsedLevelsAreSubtotals="1" fieldPosition="0"/>
    </format>
  </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BE6FC68-6A35-459E-803E-50B1E5A55DFC}" name="PivotTable12" cacheId="405" applyNumberFormats="0" applyBorderFormats="0" applyFontFormats="0" applyPatternFormats="0" applyAlignmentFormats="0" applyWidthHeightFormats="1" dataCaption="Values" tag="2a7d913a-4c46-4f01-aa22-d0b2db041010" updatedVersion="8" minRefreshableVersion="3" itemPrintTitles="1" createdVersion="5" indent="0" outline="1" outlineData="1" multipleFieldFilters="0" chartFormat="53">
  <location ref="N45:O5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Department Referral" fld="2" subtotal="count" baseField="0" baseItem="0"/>
  </dataFields>
  <formats count="2">
    <format dxfId="201">
      <pivotArea outline="0" collapsedLevelsAreSubtotals="1" fieldPosition="0"/>
    </format>
    <format dxfId="200">
      <pivotArea grandRow="1" outline="0" collapsedLevelsAreSubtotals="1" fieldPosition="0"/>
    </format>
  </formats>
  <chartFormats count="1">
    <chartFormat chart="5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305F53-7D58-4390-9EE0-F2CD09A99D6E}" name="PivotTable1" cacheId="378" applyNumberFormats="0" applyBorderFormats="0" applyFontFormats="0" applyPatternFormats="0" applyAlignmentFormats="0" applyWidthHeightFormats="1" dataCaption="Values" tag="de328358-75d6-46b4-b916-310e8e02c192" updatedVersion="8" minRefreshableVersion="3"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E7632AB-E029-47F7-A47B-45FAE586FD88}" name="PivotTable4" cacheId="375" applyNumberFormats="0" applyBorderFormats="0" applyFontFormats="0" applyPatternFormats="0" applyAlignmentFormats="0" applyWidthHeightFormats="1" dataCaption="Values" tag="de328358-75d6-46b4-b916-310e8e02c192" updatedVersion="8" minRefreshableVersion="3" itemPrintTitles="1" createdVersion="5" indent="0" outline="1" outlineData="1" multipleFieldFilters="0" chartFormat="30">
  <location ref="C6:D37"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CE1BF02-BC9E-4F22-B5F9-873EB3B4DF97}" name="PivotTable11" cacheId="402" applyNumberFormats="0" applyBorderFormats="0" applyFontFormats="0" applyPatternFormats="0" applyAlignmentFormats="0" applyWidthHeightFormats="1" dataCaption="Values" tag="2a7d913a-4c46-4f01-aa22-d0b2db041010" updatedVersion="8" minRefreshableVersion="3" itemPrintTitles="1" createdVersion="5" indent="0" outline="1" outlineData="1" multipleFieldFilters="0" chartFormat="50">
  <location ref="N39:O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03">
      <pivotArea outline="0" collapsedLevelsAreSubtotals="1" fieldPosition="0"/>
    </format>
    <format dxfId="202">
      <pivotArea grandRow="1" outline="0" collapsedLevelsAreSubtotals="1" fieldPosition="0"/>
    </format>
  </formats>
  <chartFormats count="3">
    <chartFormat chart="49" format="4" series="1">
      <pivotArea type="data" outline="0" fieldPosition="0">
        <references count="1">
          <reference field="4294967294" count="1" selected="0">
            <x v="0"/>
          </reference>
        </references>
      </pivotArea>
    </chartFormat>
    <chartFormat chart="49" format="5">
      <pivotArea type="data" outline="0" fieldPosition="0">
        <references count="2">
          <reference field="4294967294" count="1" selected="0">
            <x v="0"/>
          </reference>
          <reference field="1" count="1" selected="0">
            <x v="0"/>
          </reference>
        </references>
      </pivotArea>
    </chartFormat>
    <chartFormat chart="49"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n]"/>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C-20260915-WA0014]"/>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9E4BA41-82CE-4876-9782-C851081CA92B}"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11"/>
    <pivotTable tabId="1" name="PivotTable12"/>
    <pivotTable tabId="1" name="PivotTable13"/>
  </pivotTables>
  <data>
    <olap pivotCacheId="558849129">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89B6042-BB69-410B-892C-3034618B0C17}" sourceName="[Calendar_Table].[Date (Year)]">
  <pivotTables>
    <pivotTable tabId="1" name="PivotTable13"/>
    <pivotTable tabId="1" name="PivotTable1"/>
    <pivotTable tabId="1" name="PivotTable10"/>
    <pivotTable tabId="1" name="PivotTable11"/>
    <pivotTable tabId="1" name="PivotTable12"/>
    <pivotTable tabId="1" name="PivotTable2"/>
    <pivotTable tabId="1" name="PivotTable3"/>
    <pivotTable tabId="1" name="PivotTable4"/>
    <pivotTable tabId="1" name="PivotTable5"/>
    <pivotTable tabId="1" name="PivotTable6"/>
    <pivotTable tabId="1" name="PivotTable8"/>
    <pivotTable tabId="1" name="PivotTable9"/>
  </pivotTables>
  <data>
    <olap pivotCacheId="55884912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920AB9DE-F435-46E1-86D1-992C8FD01D50}" cache="Slicer_Date__Month" caption="Date (Month)" showCaption="0" level="1" style="My style" rowHeight="216000"/>
  <slicer name="Date (Year)" xr10:uid="{1CCADDC1-234C-4973-BDD5-B07D874C8D1B}" cache="Slicer_Date__Year" caption="Date (Year)" columnCount="2" showCaption="0" level="1" style="My 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E1D59-332B-4FD4-823C-476CCC5955CF}">
  <dimension ref="A4:S54"/>
  <sheetViews>
    <sheetView topLeftCell="A17" workbookViewId="0">
      <selection activeCell="S15" sqref="S15"/>
    </sheetView>
  </sheetViews>
  <sheetFormatPr defaultRowHeight="14.4" x14ac:dyDescent="0.3"/>
  <cols>
    <col min="1" max="1" width="31.6640625" customWidth="1"/>
    <col min="2" max="2" width="12.21875" customWidth="1"/>
    <col min="3" max="3" width="15.21875" customWidth="1"/>
    <col min="4" max="4" width="23.44140625" customWidth="1"/>
    <col min="5" max="6" width="4.77734375" customWidth="1"/>
    <col min="7" max="7" width="15" customWidth="1"/>
    <col min="8" max="8" width="25.5546875" customWidth="1"/>
    <col min="9" max="9" width="5.21875" customWidth="1"/>
    <col min="10" max="10" width="5.33203125" customWidth="1"/>
    <col min="11" max="11" width="14.33203125" customWidth="1"/>
    <col min="12" max="12" width="28.6640625" customWidth="1"/>
    <col min="14" max="14" width="14.44140625" customWidth="1"/>
    <col min="15" max="15" width="11.5546875" customWidth="1"/>
    <col min="16" max="16" width="12.88671875" customWidth="1"/>
    <col min="17" max="17" width="15.6640625" customWidth="1"/>
  </cols>
  <sheetData>
    <row r="4" spans="1:17" x14ac:dyDescent="0.3">
      <c r="A4" t="s">
        <v>1</v>
      </c>
    </row>
    <row r="5" spans="1:17" x14ac:dyDescent="0.3">
      <c r="A5" t="s">
        <v>0</v>
      </c>
      <c r="C5" t="s">
        <v>6</v>
      </c>
      <c r="G5" t="s">
        <v>7</v>
      </c>
      <c r="K5" t="s">
        <v>11</v>
      </c>
    </row>
    <row r="6" spans="1:17" x14ac:dyDescent="0.3">
      <c r="A6" s="20">
        <v>506</v>
      </c>
      <c r="C6" s="4" t="s">
        <v>5</v>
      </c>
      <c r="D6" t="s">
        <v>0</v>
      </c>
      <c r="G6" s="4" t="s">
        <v>5</v>
      </c>
      <c r="H6" t="s">
        <v>2</v>
      </c>
      <c r="K6" s="4" t="s">
        <v>5</v>
      </c>
      <c r="L6" t="s">
        <v>3</v>
      </c>
    </row>
    <row r="7" spans="1:17" x14ac:dyDescent="0.3">
      <c r="C7" s="5" t="s">
        <v>50</v>
      </c>
      <c r="D7" s="20">
        <v>26</v>
      </c>
      <c r="G7" s="5" t="s">
        <v>50</v>
      </c>
      <c r="H7" s="1">
        <v>34.884615384615387</v>
      </c>
      <c r="K7" s="5" t="s">
        <v>50</v>
      </c>
      <c r="L7" s="1">
        <v>4.8</v>
      </c>
      <c r="N7" t="s">
        <v>31</v>
      </c>
    </row>
    <row r="8" spans="1:17" x14ac:dyDescent="0.3">
      <c r="C8" s="5" t="s">
        <v>51</v>
      </c>
      <c r="D8" s="20">
        <v>17</v>
      </c>
      <c r="G8" s="5" t="s">
        <v>51</v>
      </c>
      <c r="H8" s="1">
        <v>34.941176470588232</v>
      </c>
      <c r="K8" s="5" t="s">
        <v>51</v>
      </c>
      <c r="L8" s="1">
        <v>5.333333333333333</v>
      </c>
      <c r="N8" s="4" t="s">
        <v>5</v>
      </c>
      <c r="O8" t="s">
        <v>13</v>
      </c>
      <c r="P8" t="s">
        <v>16</v>
      </c>
    </row>
    <row r="9" spans="1:17" x14ac:dyDescent="0.3">
      <c r="A9" t="s">
        <v>2</v>
      </c>
      <c r="C9" s="5" t="s">
        <v>52</v>
      </c>
      <c r="D9" s="20">
        <v>19</v>
      </c>
      <c r="G9" s="5" t="s">
        <v>52</v>
      </c>
      <c r="H9" s="1">
        <v>32.736842105263158</v>
      </c>
      <c r="K9" s="5" t="s">
        <v>52</v>
      </c>
      <c r="L9" s="1">
        <v>6.666666666666667</v>
      </c>
      <c r="N9" s="5" t="s">
        <v>14</v>
      </c>
      <c r="O9" s="10">
        <v>252</v>
      </c>
      <c r="P9" s="11">
        <v>0.49802371541501977</v>
      </c>
    </row>
    <row r="10" spans="1:17" x14ac:dyDescent="0.3">
      <c r="A10" s="1">
        <v>35.581027667984188</v>
      </c>
      <c r="C10" s="5" t="s">
        <v>53</v>
      </c>
      <c r="D10" s="20">
        <v>17</v>
      </c>
      <c r="G10" s="5" t="s">
        <v>53</v>
      </c>
      <c r="H10" s="1">
        <v>34.411764705882355</v>
      </c>
      <c r="K10" s="5" t="s">
        <v>53</v>
      </c>
      <c r="L10" s="1">
        <v>4.5555555555555554</v>
      </c>
      <c r="N10" s="5" t="s">
        <v>15</v>
      </c>
      <c r="O10" s="10">
        <v>254</v>
      </c>
      <c r="P10" s="11">
        <v>0.50197628458498023</v>
      </c>
    </row>
    <row r="11" spans="1:17" x14ac:dyDescent="0.3">
      <c r="C11" s="5" t="s">
        <v>54</v>
      </c>
      <c r="D11" s="20">
        <v>18</v>
      </c>
      <c r="G11" s="5" t="s">
        <v>54</v>
      </c>
      <c r="H11" s="1">
        <v>34.388888888888886</v>
      </c>
      <c r="K11" s="5" t="s">
        <v>54</v>
      </c>
      <c r="L11" s="1">
        <v>4.333333333333333</v>
      </c>
      <c r="N11" s="5" t="s">
        <v>4</v>
      </c>
      <c r="O11" s="9">
        <v>506</v>
      </c>
      <c r="P11" s="11">
        <v>1</v>
      </c>
    </row>
    <row r="12" spans="1:17" x14ac:dyDescent="0.3">
      <c r="C12" s="5" t="s">
        <v>55</v>
      </c>
      <c r="D12" s="20">
        <v>17</v>
      </c>
      <c r="G12" s="5" t="s">
        <v>55</v>
      </c>
      <c r="H12" s="1">
        <v>33.294117647058826</v>
      </c>
      <c r="K12" s="5" t="s">
        <v>55</v>
      </c>
      <c r="L12" s="1">
        <v>7.333333333333333</v>
      </c>
    </row>
    <row r="13" spans="1:17" x14ac:dyDescent="0.3">
      <c r="A13" t="s">
        <v>3</v>
      </c>
      <c r="C13" s="5" t="s">
        <v>56</v>
      </c>
      <c r="D13" s="20">
        <v>17</v>
      </c>
      <c r="G13" s="5" t="s">
        <v>56</v>
      </c>
      <c r="H13" s="1">
        <v>35</v>
      </c>
      <c r="K13" s="5" t="s">
        <v>56</v>
      </c>
      <c r="L13" s="1">
        <v>5.25</v>
      </c>
    </row>
    <row r="14" spans="1:17" x14ac:dyDescent="0.3">
      <c r="A14" s="1">
        <v>5.1818181818181817</v>
      </c>
      <c r="C14" s="5" t="s">
        <v>57</v>
      </c>
      <c r="D14" s="20">
        <v>19</v>
      </c>
      <c r="G14" s="5" t="s">
        <v>57</v>
      </c>
      <c r="H14" s="1">
        <v>36.736842105263158</v>
      </c>
      <c r="K14" s="5" t="s">
        <v>57</v>
      </c>
      <c r="L14" s="1">
        <v>6.333333333333333</v>
      </c>
      <c r="N14" s="12" t="s">
        <v>17</v>
      </c>
      <c r="O14" s="12" t="s">
        <v>18</v>
      </c>
      <c r="P14" s="12" t="s">
        <v>19</v>
      </c>
      <c r="Q14" s="12" t="s">
        <v>20</v>
      </c>
    </row>
    <row r="15" spans="1:17" x14ac:dyDescent="0.3">
      <c r="C15" s="5" t="s">
        <v>58</v>
      </c>
      <c r="D15" s="20">
        <v>19</v>
      </c>
      <c r="G15" s="5" t="s">
        <v>58</v>
      </c>
      <c r="H15" s="1">
        <v>37.368421052631582</v>
      </c>
      <c r="K15" s="5" t="s">
        <v>58</v>
      </c>
      <c r="L15" s="1">
        <v>5.7142857142857144</v>
      </c>
      <c r="N15" s="14" t="str">
        <f>N10</f>
        <v>Not Admitted</v>
      </c>
      <c r="O15" s="15">
        <f t="shared" ref="O15:P15" si="0">O10</f>
        <v>254</v>
      </c>
      <c r="P15" s="16">
        <f t="shared" si="0"/>
        <v>0.50197628458498023</v>
      </c>
    </row>
    <row r="16" spans="1:17" x14ac:dyDescent="0.3">
      <c r="C16" s="5" t="s">
        <v>59</v>
      </c>
      <c r="D16" s="20">
        <v>14</v>
      </c>
      <c r="G16" s="5" t="s">
        <v>59</v>
      </c>
      <c r="H16" s="1">
        <v>31.428571428571427</v>
      </c>
      <c r="K16" s="5" t="s">
        <v>59</v>
      </c>
      <c r="L16" s="1">
        <v>5</v>
      </c>
      <c r="N16" s="14" t="str">
        <f>N9</f>
        <v>Admitted</v>
      </c>
      <c r="O16" s="15">
        <f>O9</f>
        <v>252</v>
      </c>
      <c r="P16" s="16">
        <f>P9</f>
        <v>0.49802371541501977</v>
      </c>
      <c r="Q16">
        <f>Q9</f>
        <v>0</v>
      </c>
    </row>
    <row r="17" spans="3:19" x14ac:dyDescent="0.3">
      <c r="C17" s="5" t="s">
        <v>60</v>
      </c>
      <c r="D17" s="20">
        <v>17</v>
      </c>
      <c r="G17" s="5" t="s">
        <v>60</v>
      </c>
      <c r="H17" s="1">
        <v>45.470588235294116</v>
      </c>
      <c r="K17" s="5" t="s">
        <v>60</v>
      </c>
      <c r="L17" s="1">
        <v>6.166666666666667</v>
      </c>
      <c r="N17" s="17"/>
      <c r="O17" s="17"/>
      <c r="P17" s="18"/>
    </row>
    <row r="18" spans="3:19" x14ac:dyDescent="0.3">
      <c r="C18" s="5" t="s">
        <v>61</v>
      </c>
      <c r="D18" s="20">
        <v>20</v>
      </c>
      <c r="G18" s="5" t="s">
        <v>61</v>
      </c>
      <c r="H18" s="1">
        <v>32.549999999999997</v>
      </c>
      <c r="K18" s="5" t="s">
        <v>61</v>
      </c>
      <c r="L18" s="1">
        <v>3</v>
      </c>
    </row>
    <row r="19" spans="3:19" x14ac:dyDescent="0.3">
      <c r="C19" s="5" t="s">
        <v>62</v>
      </c>
      <c r="D19" s="20">
        <v>13</v>
      </c>
      <c r="G19" s="5" t="s">
        <v>62</v>
      </c>
      <c r="H19" s="1">
        <v>39.615384615384613</v>
      </c>
      <c r="K19" s="5" t="s">
        <v>62</v>
      </c>
      <c r="L19" s="1">
        <v>4.5</v>
      </c>
    </row>
    <row r="20" spans="3:19" x14ac:dyDescent="0.3">
      <c r="C20" s="5" t="s">
        <v>63</v>
      </c>
      <c r="D20" s="20">
        <v>14</v>
      </c>
      <c r="G20" s="5" t="s">
        <v>63</v>
      </c>
      <c r="H20" s="1">
        <v>36</v>
      </c>
      <c r="K20" s="5" t="s">
        <v>63</v>
      </c>
      <c r="L20" s="1">
        <v>4.666666666666667</v>
      </c>
      <c r="N20" t="s">
        <v>30</v>
      </c>
    </row>
    <row r="21" spans="3:19" x14ac:dyDescent="0.3">
      <c r="C21" s="5" t="s">
        <v>64</v>
      </c>
      <c r="D21" s="20">
        <v>15</v>
      </c>
      <c r="G21" s="5" t="s">
        <v>64</v>
      </c>
      <c r="H21" s="1">
        <v>31.6</v>
      </c>
      <c r="K21" s="5" t="s">
        <v>64</v>
      </c>
      <c r="L21" s="1">
        <v>9</v>
      </c>
      <c r="N21" s="4" t="s">
        <v>5</v>
      </c>
      <c r="O21" t="s">
        <v>29</v>
      </c>
    </row>
    <row r="22" spans="3:19" x14ac:dyDescent="0.3">
      <c r="C22" s="5" t="s">
        <v>65</v>
      </c>
      <c r="D22" s="20">
        <v>13</v>
      </c>
      <c r="G22" s="5" t="s">
        <v>65</v>
      </c>
      <c r="H22" s="1">
        <v>33.846153846153847</v>
      </c>
      <c r="K22" s="5" t="s">
        <v>65</v>
      </c>
      <c r="L22" s="1">
        <v>1.5</v>
      </c>
      <c r="N22" s="5" t="s">
        <v>21</v>
      </c>
      <c r="O22" s="10">
        <v>54</v>
      </c>
      <c r="S22" s="4" t="s">
        <v>5</v>
      </c>
    </row>
    <row r="23" spans="3:19" x14ac:dyDescent="0.3">
      <c r="C23" s="5" t="s">
        <v>66</v>
      </c>
      <c r="D23" s="20">
        <v>15</v>
      </c>
      <c r="G23" s="5" t="s">
        <v>66</v>
      </c>
      <c r="H23" s="1">
        <v>31.8</v>
      </c>
      <c r="K23" s="5" t="s">
        <v>66</v>
      </c>
      <c r="L23" s="1">
        <v>6.8</v>
      </c>
      <c r="N23" s="5" t="s">
        <v>22</v>
      </c>
      <c r="O23" s="10">
        <v>72</v>
      </c>
      <c r="S23" s="5" t="s">
        <v>49</v>
      </c>
    </row>
    <row r="24" spans="3:19" x14ac:dyDescent="0.3">
      <c r="C24" s="5" t="s">
        <v>67</v>
      </c>
      <c r="D24" s="20">
        <v>17</v>
      </c>
      <c r="G24" s="5" t="s">
        <v>67</v>
      </c>
      <c r="H24" s="1">
        <v>36</v>
      </c>
      <c r="K24" s="5" t="s">
        <v>67</v>
      </c>
      <c r="L24" s="1">
        <v>4.625</v>
      </c>
      <c r="N24" s="5" t="s">
        <v>23</v>
      </c>
      <c r="O24" s="10">
        <v>75</v>
      </c>
      <c r="S24" s="5" t="s">
        <v>4</v>
      </c>
    </row>
    <row r="25" spans="3:19" x14ac:dyDescent="0.3">
      <c r="C25" s="5" t="s">
        <v>68</v>
      </c>
      <c r="D25" s="20">
        <v>10</v>
      </c>
      <c r="G25" s="5" t="s">
        <v>68</v>
      </c>
      <c r="H25" s="1">
        <v>29.8</v>
      </c>
      <c r="K25" s="5" t="s">
        <v>68</v>
      </c>
      <c r="L25" s="1">
        <v>4.333333333333333</v>
      </c>
      <c r="N25" s="5" t="s">
        <v>24</v>
      </c>
      <c r="O25" s="10">
        <v>62</v>
      </c>
    </row>
    <row r="26" spans="3:19" x14ac:dyDescent="0.3">
      <c r="C26" s="5" t="s">
        <v>69</v>
      </c>
      <c r="D26" s="20">
        <v>13</v>
      </c>
      <c r="G26" s="5" t="s">
        <v>69</v>
      </c>
      <c r="H26" s="1">
        <v>41.307692307692307</v>
      </c>
      <c r="K26" s="5" t="s">
        <v>69</v>
      </c>
      <c r="L26" s="1">
        <v>1.3333333333333333</v>
      </c>
      <c r="N26" s="5" t="s">
        <v>25</v>
      </c>
      <c r="O26" s="10">
        <v>63</v>
      </c>
    </row>
    <row r="27" spans="3:19" x14ac:dyDescent="0.3">
      <c r="C27" s="5" t="s">
        <v>70</v>
      </c>
      <c r="D27" s="20">
        <v>17</v>
      </c>
      <c r="G27" s="5" t="s">
        <v>70</v>
      </c>
      <c r="H27" s="1">
        <v>29.764705882352942</v>
      </c>
      <c r="K27" s="5" t="s">
        <v>70</v>
      </c>
      <c r="L27" s="1">
        <v>5</v>
      </c>
      <c r="N27" s="5" t="s">
        <v>26</v>
      </c>
      <c r="O27" s="10">
        <v>49</v>
      </c>
    </row>
    <row r="28" spans="3:19" x14ac:dyDescent="0.3">
      <c r="C28" s="5" t="s">
        <v>71</v>
      </c>
      <c r="D28" s="20">
        <v>26</v>
      </c>
      <c r="G28" s="5" t="s">
        <v>71</v>
      </c>
      <c r="H28" s="1">
        <v>37.92307692307692</v>
      </c>
      <c r="K28" s="5" t="s">
        <v>71</v>
      </c>
      <c r="L28" s="1">
        <v>3.1666666666666665</v>
      </c>
      <c r="N28" s="5" t="s">
        <v>27</v>
      </c>
      <c r="O28" s="10">
        <v>74</v>
      </c>
    </row>
    <row r="29" spans="3:19" x14ac:dyDescent="0.3">
      <c r="C29" s="5" t="s">
        <v>72</v>
      </c>
      <c r="D29" s="20">
        <v>8</v>
      </c>
      <c r="G29" s="5" t="s">
        <v>72</v>
      </c>
      <c r="H29" s="1">
        <v>38.625</v>
      </c>
      <c r="K29" s="5" t="s">
        <v>72</v>
      </c>
      <c r="L29" s="1">
        <v>7.5</v>
      </c>
      <c r="N29" s="5" t="s">
        <v>28</v>
      </c>
      <c r="O29" s="10">
        <v>57</v>
      </c>
    </row>
    <row r="30" spans="3:19" x14ac:dyDescent="0.3">
      <c r="C30" s="5" t="s">
        <v>73</v>
      </c>
      <c r="D30" s="20">
        <v>17</v>
      </c>
      <c r="G30" s="5" t="s">
        <v>73</v>
      </c>
      <c r="H30" s="1">
        <v>41.470588235294116</v>
      </c>
      <c r="K30" s="5" t="s">
        <v>73</v>
      </c>
      <c r="L30" s="1">
        <v>4.2</v>
      </c>
      <c r="N30" s="5" t="s">
        <v>4</v>
      </c>
      <c r="O30" s="9">
        <v>506</v>
      </c>
    </row>
    <row r="31" spans="3:19" x14ac:dyDescent="0.3">
      <c r="C31" s="5" t="s">
        <v>74</v>
      </c>
      <c r="D31" s="20">
        <v>18</v>
      </c>
      <c r="G31" s="5" t="s">
        <v>74</v>
      </c>
      <c r="H31" s="1">
        <v>39.5</v>
      </c>
      <c r="K31" s="5" t="s">
        <v>74</v>
      </c>
      <c r="L31" s="1">
        <v>4.625</v>
      </c>
    </row>
    <row r="32" spans="3:19" x14ac:dyDescent="0.3">
      <c r="C32" s="5" t="s">
        <v>75</v>
      </c>
      <c r="D32" s="20">
        <v>19</v>
      </c>
      <c r="G32" s="5" t="s">
        <v>75</v>
      </c>
      <c r="H32" s="1">
        <v>29.736842105263158</v>
      </c>
      <c r="K32" s="5" t="s">
        <v>75</v>
      </c>
      <c r="L32" s="1">
        <v>9.6666666666666661</v>
      </c>
      <c r="N32" s="5" t="s">
        <v>35</v>
      </c>
    </row>
    <row r="33" spans="3:15" x14ac:dyDescent="0.3">
      <c r="C33" s="5" t="s">
        <v>76</v>
      </c>
      <c r="D33" s="20">
        <v>20</v>
      </c>
      <c r="G33" s="5" t="s">
        <v>76</v>
      </c>
      <c r="H33" s="1">
        <v>37.75</v>
      </c>
      <c r="K33" s="5" t="s">
        <v>76</v>
      </c>
      <c r="L33" s="1">
        <v>6.125</v>
      </c>
      <c r="N33" s="4" t="s">
        <v>5</v>
      </c>
      <c r="O33" t="s">
        <v>34</v>
      </c>
    </row>
    <row r="34" spans="3:15" x14ac:dyDescent="0.3">
      <c r="C34" s="5" t="s">
        <v>77</v>
      </c>
      <c r="D34" s="20">
        <v>23</v>
      </c>
      <c r="G34" s="5" t="s">
        <v>77</v>
      </c>
      <c r="H34" s="1">
        <v>37.782608695652172</v>
      </c>
      <c r="K34" s="5" t="s">
        <v>77</v>
      </c>
      <c r="L34" s="1">
        <v>5.5555555555555554</v>
      </c>
      <c r="N34" s="5" t="s">
        <v>33</v>
      </c>
      <c r="O34" s="10">
        <v>311</v>
      </c>
    </row>
    <row r="35" spans="3:15" x14ac:dyDescent="0.3">
      <c r="C35" s="5" t="s">
        <v>78</v>
      </c>
      <c r="D35" s="20">
        <v>16</v>
      </c>
      <c r="G35" s="5" t="s">
        <v>78</v>
      </c>
      <c r="H35" s="1">
        <v>34.1875</v>
      </c>
      <c r="K35" s="5" t="s">
        <v>78</v>
      </c>
      <c r="L35" s="1">
        <v>6.333333333333333</v>
      </c>
      <c r="N35" s="5" t="s">
        <v>32</v>
      </c>
      <c r="O35" s="10">
        <v>195</v>
      </c>
    </row>
    <row r="36" spans="3:15" x14ac:dyDescent="0.3">
      <c r="C36" s="5" t="s">
        <v>79</v>
      </c>
      <c r="D36" s="20">
        <v>12</v>
      </c>
      <c r="G36" s="5" t="s">
        <v>79</v>
      </c>
      <c r="H36" s="1">
        <v>36.166666666666664</v>
      </c>
      <c r="K36" s="5" t="s">
        <v>79</v>
      </c>
      <c r="L36" s="1">
        <v>5.333333333333333</v>
      </c>
      <c r="N36" s="5" t="s">
        <v>4</v>
      </c>
      <c r="O36" s="9">
        <v>506</v>
      </c>
    </row>
    <row r="37" spans="3:15" x14ac:dyDescent="0.3">
      <c r="C37" s="5" t="s">
        <v>4</v>
      </c>
      <c r="D37" s="20">
        <v>506</v>
      </c>
      <c r="G37" s="5" t="s">
        <v>4</v>
      </c>
      <c r="H37" s="1">
        <v>35.581027667984188</v>
      </c>
      <c r="K37" s="5" t="s">
        <v>4</v>
      </c>
      <c r="L37" s="1">
        <v>5.1818181818181817</v>
      </c>
    </row>
    <row r="38" spans="3:15" x14ac:dyDescent="0.3">
      <c r="N38" s="5" t="s">
        <v>39</v>
      </c>
    </row>
    <row r="39" spans="3:15" x14ac:dyDescent="0.3">
      <c r="N39" s="4" t="s">
        <v>5</v>
      </c>
      <c r="O39" t="s">
        <v>38</v>
      </c>
    </row>
    <row r="40" spans="3:15" x14ac:dyDescent="0.3">
      <c r="N40" s="5" t="s">
        <v>36</v>
      </c>
      <c r="O40" s="10">
        <v>233</v>
      </c>
    </row>
    <row r="41" spans="3:15" x14ac:dyDescent="0.3">
      <c r="N41" s="5" t="s">
        <v>37</v>
      </c>
      <c r="O41" s="10">
        <v>273</v>
      </c>
    </row>
    <row r="42" spans="3:15" x14ac:dyDescent="0.3">
      <c r="N42" s="5" t="s">
        <v>4</v>
      </c>
      <c r="O42" s="9">
        <v>506</v>
      </c>
    </row>
    <row r="45" spans="3:15" x14ac:dyDescent="0.3">
      <c r="N45" s="4" t="s">
        <v>5</v>
      </c>
      <c r="O45" t="s">
        <v>48</v>
      </c>
    </row>
    <row r="46" spans="3:15" x14ac:dyDescent="0.3">
      <c r="N46" s="5" t="s">
        <v>47</v>
      </c>
      <c r="O46" s="10">
        <v>2</v>
      </c>
    </row>
    <row r="47" spans="3:15" x14ac:dyDescent="0.3">
      <c r="N47" s="5" t="s">
        <v>41</v>
      </c>
      <c r="O47" s="10">
        <v>11</v>
      </c>
    </row>
    <row r="48" spans="3:15" x14ac:dyDescent="0.3">
      <c r="N48" s="5" t="s">
        <v>40</v>
      </c>
      <c r="O48" s="10">
        <v>12</v>
      </c>
    </row>
    <row r="49" spans="14:15" x14ac:dyDescent="0.3">
      <c r="N49" s="5" t="s">
        <v>43</v>
      </c>
      <c r="O49" s="10">
        <v>15</v>
      </c>
    </row>
    <row r="50" spans="14:15" x14ac:dyDescent="0.3">
      <c r="N50" s="5" t="s">
        <v>46</v>
      </c>
      <c r="O50" s="10">
        <v>18</v>
      </c>
    </row>
    <row r="51" spans="14:15" x14ac:dyDescent="0.3">
      <c r="N51" s="5" t="s">
        <v>45</v>
      </c>
      <c r="O51" s="10">
        <v>60</v>
      </c>
    </row>
    <row r="52" spans="14:15" x14ac:dyDescent="0.3">
      <c r="N52" s="5" t="s">
        <v>42</v>
      </c>
      <c r="O52" s="10">
        <v>83</v>
      </c>
    </row>
    <row r="53" spans="14:15" x14ac:dyDescent="0.3">
      <c r="N53" s="5" t="s">
        <v>44</v>
      </c>
      <c r="O53" s="10">
        <v>305</v>
      </c>
    </row>
    <row r="54" spans="14:15" x14ac:dyDescent="0.3">
      <c r="N54" s="5" t="s">
        <v>4</v>
      </c>
      <c r="O54" s="9">
        <v>506</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838E1-0082-42A0-9C35-A5FE277B5228}">
  <dimension ref="A1:T27"/>
  <sheetViews>
    <sheetView tabSelected="1" zoomScaleNormal="100" workbookViewId="0"/>
  </sheetViews>
  <sheetFormatPr defaultRowHeight="14.4" x14ac:dyDescent="0.3"/>
  <cols>
    <col min="15" max="15" width="12" customWidth="1"/>
  </cols>
  <sheetData>
    <row r="1" spans="1:20" x14ac:dyDescent="0.3">
      <c r="A1" s="3"/>
      <c r="B1" s="3"/>
      <c r="C1" s="3"/>
      <c r="D1" s="3"/>
      <c r="E1" s="3"/>
      <c r="F1" s="3"/>
      <c r="G1" s="3"/>
      <c r="H1" s="3"/>
      <c r="I1" s="3"/>
      <c r="J1" s="3"/>
      <c r="K1" s="3"/>
      <c r="L1" s="3"/>
      <c r="M1" s="3"/>
      <c r="N1" s="3"/>
      <c r="O1" s="3"/>
      <c r="P1" s="3"/>
      <c r="Q1" s="19"/>
      <c r="R1" s="19"/>
      <c r="S1" s="7"/>
    </row>
    <row r="2" spans="1:20" x14ac:dyDescent="0.3">
      <c r="A2" s="3"/>
      <c r="B2" s="3"/>
      <c r="C2" s="3"/>
      <c r="D2" s="3"/>
      <c r="E2" s="3"/>
      <c r="F2" s="3"/>
      <c r="G2" s="3"/>
      <c r="H2" s="3"/>
      <c r="I2" s="3"/>
      <c r="J2" s="3"/>
      <c r="K2" s="3"/>
      <c r="L2" s="3"/>
      <c r="M2" s="3"/>
      <c r="N2" s="3"/>
      <c r="O2" s="3"/>
      <c r="P2" s="3"/>
      <c r="Q2" s="19"/>
      <c r="R2" s="19"/>
      <c r="S2" s="7"/>
    </row>
    <row r="3" spans="1:20" x14ac:dyDescent="0.3">
      <c r="A3" s="3"/>
      <c r="B3" s="3"/>
      <c r="C3" s="3"/>
      <c r="D3" s="3"/>
      <c r="E3" s="3"/>
      <c r="F3" s="3"/>
      <c r="G3" s="3"/>
      <c r="H3" s="3"/>
      <c r="I3" s="3"/>
      <c r="J3" s="3"/>
      <c r="K3" s="3"/>
      <c r="L3" s="3"/>
      <c r="M3" s="3"/>
      <c r="N3" s="3"/>
      <c r="O3" s="3"/>
      <c r="P3" s="3"/>
      <c r="Q3" s="19"/>
      <c r="R3" s="19"/>
      <c r="S3" s="7"/>
    </row>
    <row r="4" spans="1:20" x14ac:dyDescent="0.3">
      <c r="A4" s="3"/>
      <c r="B4" s="3"/>
      <c r="C4" s="3"/>
      <c r="D4" s="3"/>
      <c r="E4" s="3"/>
      <c r="F4" s="3"/>
      <c r="G4" s="3"/>
      <c r="H4" s="3"/>
      <c r="I4" s="3"/>
      <c r="J4" s="3"/>
      <c r="K4" s="3"/>
      <c r="L4" s="3"/>
      <c r="M4" s="3"/>
      <c r="N4" s="3"/>
      <c r="O4" s="3"/>
      <c r="P4" s="3"/>
      <c r="Q4" s="19"/>
      <c r="R4" s="19"/>
      <c r="S4" s="7"/>
    </row>
    <row r="5" spans="1:20" x14ac:dyDescent="0.3">
      <c r="A5" s="3"/>
      <c r="B5" s="3"/>
      <c r="C5" s="3"/>
      <c r="D5" s="3"/>
      <c r="E5" s="3"/>
      <c r="F5" s="3"/>
      <c r="G5" s="3"/>
      <c r="H5" s="3"/>
      <c r="I5" s="3"/>
      <c r="J5" s="3"/>
      <c r="K5" s="3"/>
      <c r="L5" s="3"/>
      <c r="M5" s="3"/>
      <c r="N5" s="3"/>
      <c r="O5" s="3"/>
      <c r="P5" s="3"/>
      <c r="Q5" s="19"/>
      <c r="R5" s="19"/>
      <c r="S5" s="7"/>
    </row>
    <row r="6" spans="1:20" x14ac:dyDescent="0.3">
      <c r="A6" s="3"/>
      <c r="B6" s="3"/>
      <c r="C6" s="3"/>
      <c r="D6" s="3"/>
      <c r="E6" s="3"/>
      <c r="F6" s="3"/>
      <c r="G6" s="3"/>
      <c r="H6" s="3"/>
      <c r="I6" s="3"/>
      <c r="J6" s="3"/>
      <c r="K6" s="3"/>
      <c r="L6" s="3"/>
      <c r="M6" s="3"/>
      <c r="N6" s="3"/>
      <c r="O6" s="3"/>
      <c r="P6" s="3"/>
      <c r="Q6" s="19"/>
      <c r="R6" s="19"/>
      <c r="S6" s="7"/>
    </row>
    <row r="7" spans="1:20" x14ac:dyDescent="0.3">
      <c r="A7" s="3"/>
      <c r="B7" s="3"/>
      <c r="C7" s="3"/>
      <c r="D7" s="3"/>
      <c r="E7" s="3"/>
      <c r="F7" s="3"/>
      <c r="G7" s="3"/>
      <c r="H7" s="3"/>
      <c r="I7" s="3"/>
      <c r="J7" s="3"/>
      <c r="K7" s="3"/>
      <c r="L7" s="3"/>
      <c r="M7" s="3"/>
      <c r="N7" s="3"/>
      <c r="O7" s="3"/>
      <c r="P7" s="3"/>
      <c r="Q7" s="19"/>
      <c r="R7" s="19"/>
      <c r="S7" s="7"/>
    </row>
    <row r="8" spans="1:20" x14ac:dyDescent="0.3">
      <c r="A8" s="3"/>
      <c r="B8" s="3"/>
      <c r="C8" s="3"/>
      <c r="D8" s="3"/>
      <c r="E8" s="3"/>
      <c r="F8" s="3"/>
      <c r="G8" s="3"/>
      <c r="H8" s="3"/>
      <c r="I8" s="3"/>
      <c r="J8" s="3"/>
      <c r="K8" s="3"/>
      <c r="L8" s="3"/>
      <c r="M8" s="3"/>
      <c r="N8" s="3"/>
      <c r="O8" s="3"/>
      <c r="P8" s="3"/>
      <c r="Q8" s="19"/>
      <c r="R8" s="19"/>
      <c r="S8" s="7"/>
    </row>
    <row r="9" spans="1:20" x14ac:dyDescent="0.3">
      <c r="A9" s="3"/>
      <c r="B9" s="3"/>
      <c r="C9" s="3"/>
      <c r="D9" s="3"/>
      <c r="E9" s="3"/>
      <c r="F9" s="3"/>
      <c r="G9" s="3"/>
      <c r="H9" s="3"/>
      <c r="I9" s="3"/>
      <c r="J9" s="3"/>
      <c r="K9" s="3"/>
      <c r="L9" s="3"/>
      <c r="M9" s="3"/>
      <c r="N9" s="3"/>
      <c r="O9" s="3"/>
      <c r="P9" s="3"/>
      <c r="Q9" s="19"/>
      <c r="R9" s="19"/>
      <c r="S9" s="7"/>
    </row>
    <row r="10" spans="1:20" x14ac:dyDescent="0.3">
      <c r="A10" s="3"/>
      <c r="B10" s="3"/>
      <c r="C10" s="3"/>
      <c r="D10" s="3"/>
      <c r="E10" s="3"/>
      <c r="F10" s="3"/>
      <c r="G10" s="3"/>
      <c r="H10" s="3"/>
      <c r="I10" s="3"/>
      <c r="J10" s="3"/>
      <c r="K10" s="3"/>
      <c r="L10" s="3"/>
      <c r="M10" s="3"/>
      <c r="N10" s="3"/>
      <c r="O10" s="3"/>
      <c r="P10" s="3"/>
      <c r="Q10" s="19"/>
      <c r="R10" s="19"/>
      <c r="S10" s="7"/>
    </row>
    <row r="11" spans="1:20" x14ac:dyDescent="0.3">
      <c r="A11" s="3"/>
      <c r="B11" s="3"/>
      <c r="C11" s="3"/>
      <c r="D11" s="3"/>
      <c r="E11" s="3"/>
      <c r="F11" s="3"/>
      <c r="G11" s="3"/>
      <c r="H11" s="3"/>
      <c r="I11" s="3"/>
      <c r="J11" s="3"/>
      <c r="K11" s="3"/>
      <c r="L11" s="3"/>
      <c r="M11" s="3"/>
      <c r="N11" s="3"/>
      <c r="O11" s="3"/>
      <c r="P11" s="3"/>
      <c r="Q11" s="19"/>
      <c r="R11" s="19"/>
      <c r="S11" s="7"/>
    </row>
    <row r="12" spans="1:20" x14ac:dyDescent="0.3">
      <c r="A12" s="3"/>
      <c r="B12" s="3"/>
      <c r="C12" s="3"/>
      <c r="D12" s="3"/>
      <c r="E12" s="3"/>
      <c r="F12" s="3"/>
      <c r="G12" s="3"/>
      <c r="H12" s="3"/>
      <c r="I12" s="3"/>
      <c r="J12" s="3"/>
      <c r="K12" s="3"/>
      <c r="L12" s="3"/>
      <c r="M12" s="3"/>
      <c r="N12" s="3"/>
      <c r="O12" s="3"/>
      <c r="P12" s="3"/>
      <c r="Q12" s="19"/>
      <c r="R12" s="19"/>
      <c r="S12" s="7"/>
    </row>
    <row r="13" spans="1:20" x14ac:dyDescent="0.3">
      <c r="A13" s="3"/>
      <c r="B13" s="3"/>
      <c r="C13" s="3"/>
      <c r="D13" s="3"/>
      <c r="E13" s="3"/>
      <c r="F13" s="3"/>
      <c r="G13" s="3"/>
      <c r="H13" s="3"/>
      <c r="I13" s="3"/>
      <c r="J13" s="3"/>
      <c r="K13" s="3"/>
      <c r="L13" s="3"/>
      <c r="M13" s="3"/>
      <c r="N13" s="3"/>
      <c r="O13" s="3"/>
      <c r="P13" s="3"/>
      <c r="Q13" s="19"/>
      <c r="R13" s="19"/>
      <c r="S13" s="7"/>
      <c r="T13" s="21"/>
    </row>
    <row r="14" spans="1:20" x14ac:dyDescent="0.3">
      <c r="A14" s="3"/>
      <c r="B14" s="3"/>
      <c r="C14" s="3"/>
      <c r="D14" s="3"/>
      <c r="E14" s="3"/>
      <c r="F14" s="3"/>
      <c r="G14" s="3"/>
      <c r="H14" s="3"/>
      <c r="I14" s="3"/>
      <c r="J14" s="3"/>
      <c r="K14" s="3"/>
      <c r="L14" s="3"/>
      <c r="M14" s="3"/>
      <c r="N14" s="3"/>
      <c r="O14" s="3"/>
      <c r="P14" s="3"/>
      <c r="Q14" s="19"/>
      <c r="R14" s="19"/>
      <c r="S14" s="7"/>
    </row>
    <row r="15" spans="1:20" x14ac:dyDescent="0.3">
      <c r="A15" s="3"/>
      <c r="B15" s="3"/>
      <c r="C15" s="3"/>
      <c r="D15" s="3"/>
      <c r="E15" s="3"/>
      <c r="F15" s="3"/>
      <c r="G15" s="3"/>
      <c r="H15" s="3"/>
      <c r="I15" s="3"/>
      <c r="J15" s="3"/>
      <c r="K15" s="3"/>
      <c r="L15" s="3"/>
      <c r="M15" s="3"/>
      <c r="N15" s="3"/>
      <c r="O15" s="3"/>
      <c r="P15" s="3"/>
      <c r="Q15" s="19"/>
      <c r="R15" s="19"/>
      <c r="S15" s="7"/>
    </row>
    <row r="16" spans="1:20" x14ac:dyDescent="0.3">
      <c r="A16" s="3"/>
      <c r="B16" s="3"/>
      <c r="C16" s="3"/>
      <c r="D16" s="3"/>
      <c r="E16" s="3"/>
      <c r="F16" s="3"/>
      <c r="G16" s="3"/>
      <c r="H16" s="3"/>
      <c r="I16" s="3"/>
      <c r="J16" s="3"/>
      <c r="K16" s="3"/>
      <c r="L16" s="3"/>
      <c r="M16" s="3"/>
      <c r="N16" s="3"/>
      <c r="O16" s="3"/>
      <c r="P16" s="3"/>
      <c r="Q16" s="19"/>
      <c r="R16" s="19"/>
      <c r="S16" s="7"/>
    </row>
    <row r="17" spans="1:19" x14ac:dyDescent="0.3">
      <c r="A17" s="3"/>
      <c r="B17" s="3"/>
      <c r="C17" s="3"/>
      <c r="D17" s="3"/>
      <c r="E17" s="3"/>
      <c r="F17" s="3"/>
      <c r="G17" s="3"/>
      <c r="H17" s="3"/>
      <c r="I17" s="3"/>
      <c r="J17" s="3"/>
      <c r="K17" s="3"/>
      <c r="L17" s="3"/>
      <c r="M17" s="3"/>
      <c r="N17" s="3"/>
      <c r="O17" s="3"/>
      <c r="P17" s="3"/>
      <c r="Q17" s="19"/>
      <c r="R17" s="19"/>
      <c r="S17" s="7"/>
    </row>
    <row r="18" spans="1:19" x14ac:dyDescent="0.3">
      <c r="A18" s="3"/>
      <c r="B18" s="3"/>
      <c r="C18" s="3"/>
      <c r="D18" s="3"/>
      <c r="E18" s="3"/>
      <c r="F18" s="3"/>
      <c r="G18" s="3"/>
      <c r="H18" s="3"/>
      <c r="I18" s="3"/>
      <c r="J18" s="3"/>
      <c r="K18" s="3"/>
      <c r="L18" s="3"/>
      <c r="M18" s="3"/>
      <c r="N18" s="3"/>
      <c r="O18" s="3"/>
      <c r="P18" s="3"/>
      <c r="Q18" s="19"/>
      <c r="R18" s="19"/>
      <c r="S18" s="7"/>
    </row>
    <row r="19" spans="1:19" x14ac:dyDescent="0.3">
      <c r="A19" s="3"/>
      <c r="B19" s="3"/>
      <c r="C19" s="3"/>
      <c r="D19" s="3"/>
      <c r="E19" s="3"/>
      <c r="F19" s="3"/>
      <c r="G19" s="3"/>
      <c r="H19" s="3"/>
      <c r="I19" s="3"/>
      <c r="J19" s="3"/>
      <c r="K19" s="3"/>
      <c r="L19" s="3"/>
      <c r="M19" s="3"/>
      <c r="N19" s="3"/>
      <c r="O19" s="3"/>
      <c r="P19" s="3"/>
      <c r="Q19" s="19"/>
      <c r="R19" s="19"/>
      <c r="S19" s="7"/>
    </row>
    <row r="20" spans="1:19" x14ac:dyDescent="0.3">
      <c r="A20" s="3"/>
      <c r="B20" s="3"/>
      <c r="C20" s="3"/>
      <c r="D20" s="3"/>
      <c r="E20" s="3"/>
      <c r="F20" s="3"/>
      <c r="G20" s="3"/>
      <c r="H20" s="3"/>
      <c r="I20" s="3"/>
      <c r="J20" s="3"/>
      <c r="K20" s="3"/>
      <c r="L20" s="3"/>
      <c r="M20" s="3"/>
      <c r="N20" s="3"/>
      <c r="O20" s="3"/>
      <c r="P20" s="3"/>
      <c r="Q20" s="19"/>
      <c r="R20" s="19"/>
      <c r="S20" s="7"/>
    </row>
    <row r="21" spans="1:19" x14ac:dyDescent="0.3">
      <c r="A21" s="3"/>
      <c r="B21" s="3"/>
      <c r="C21" s="3"/>
      <c r="D21" s="3"/>
      <c r="E21" s="3"/>
      <c r="F21" s="3"/>
      <c r="G21" s="3"/>
      <c r="H21" s="3"/>
      <c r="I21" s="3"/>
      <c r="J21" s="3"/>
      <c r="K21" s="3"/>
      <c r="L21" s="3"/>
      <c r="M21" s="3"/>
      <c r="N21" s="3"/>
      <c r="O21" s="3"/>
      <c r="P21" s="3"/>
      <c r="Q21" s="19"/>
      <c r="R21" s="19"/>
      <c r="S21" s="7"/>
    </row>
    <row r="22" spans="1:19" x14ac:dyDescent="0.3">
      <c r="A22" s="3"/>
      <c r="B22" s="3"/>
      <c r="C22" s="3"/>
      <c r="D22" s="3"/>
      <c r="E22" s="3"/>
      <c r="F22" s="3"/>
      <c r="G22" s="3"/>
      <c r="H22" s="3"/>
      <c r="I22" s="3"/>
      <c r="J22" s="3"/>
      <c r="K22" s="3"/>
      <c r="L22" s="3"/>
      <c r="M22" s="3"/>
      <c r="N22" s="3"/>
      <c r="O22" s="3"/>
      <c r="P22" s="3"/>
      <c r="Q22" s="19"/>
      <c r="R22" s="19"/>
      <c r="S22" s="7"/>
    </row>
    <row r="23" spans="1:19" x14ac:dyDescent="0.3">
      <c r="A23" s="3"/>
      <c r="B23" s="3"/>
      <c r="C23" s="3"/>
      <c r="D23" s="3"/>
      <c r="E23" s="3"/>
      <c r="F23" s="3"/>
      <c r="G23" s="3"/>
      <c r="H23" s="3"/>
      <c r="I23" s="3"/>
      <c r="J23" s="3"/>
      <c r="K23" s="3"/>
      <c r="L23" s="3"/>
      <c r="M23" s="3"/>
      <c r="N23" s="3"/>
      <c r="O23" s="3"/>
      <c r="P23" s="3"/>
      <c r="Q23" s="19"/>
      <c r="R23" s="19"/>
      <c r="S23" s="7"/>
    </row>
    <row r="24" spans="1:19" x14ac:dyDescent="0.3">
      <c r="A24" s="3"/>
      <c r="B24" s="3"/>
      <c r="C24" s="3"/>
      <c r="D24" s="3"/>
      <c r="E24" s="3"/>
      <c r="F24" s="3"/>
      <c r="G24" s="3"/>
      <c r="H24" s="3"/>
      <c r="I24" s="3"/>
      <c r="J24" s="3"/>
      <c r="K24" s="3"/>
      <c r="L24" s="3"/>
      <c r="M24" s="3"/>
      <c r="N24" s="3"/>
      <c r="O24" s="3"/>
      <c r="P24" s="3"/>
      <c r="Q24" s="19"/>
      <c r="R24" s="19"/>
      <c r="S24" s="7"/>
    </row>
    <row r="25" spans="1:19" x14ac:dyDescent="0.3">
      <c r="A25" s="2"/>
      <c r="B25" s="2"/>
      <c r="C25" s="2"/>
      <c r="D25" s="2"/>
      <c r="E25" s="2"/>
      <c r="F25" s="2"/>
      <c r="G25" s="2"/>
      <c r="H25" s="2"/>
      <c r="I25" s="2"/>
      <c r="J25" s="2"/>
      <c r="K25" s="2"/>
      <c r="L25" s="2"/>
      <c r="M25" s="2"/>
      <c r="N25" s="2"/>
      <c r="O25" s="2"/>
      <c r="P25" s="2"/>
      <c r="Q25" s="2"/>
      <c r="R25" s="2"/>
    </row>
    <row r="27" spans="1:19" x14ac:dyDescent="0.3">
      <c r="H27" s="1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40B64-390F-41D8-A67D-9A241B92B450}">
  <dimension ref="A1:S26"/>
  <sheetViews>
    <sheetView workbookViewId="0"/>
  </sheetViews>
  <sheetFormatPr defaultRowHeight="14.4" x14ac:dyDescent="0.3"/>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ht="15.6" x14ac:dyDescent="0.3">
      <c r="A24" s="7"/>
      <c r="B24" s="7"/>
      <c r="C24" s="8" t="s">
        <v>8</v>
      </c>
      <c r="D24" s="7"/>
      <c r="E24" s="7"/>
      <c r="F24" s="7"/>
      <c r="G24" s="7"/>
      <c r="H24" s="7"/>
      <c r="I24" s="7"/>
      <c r="J24" s="7"/>
      <c r="K24" s="7"/>
      <c r="L24" s="7"/>
      <c r="M24" s="7"/>
      <c r="N24" s="7"/>
      <c r="O24" s="7"/>
      <c r="P24" s="7"/>
      <c r="Q24" s="7"/>
      <c r="R24" s="7"/>
      <c r="S24" s="7"/>
    </row>
    <row r="25" spans="1:19" x14ac:dyDescent="0.3">
      <c r="A25" s="7"/>
      <c r="B25" s="7"/>
      <c r="C25" s="7"/>
      <c r="D25" s="7"/>
      <c r="E25" s="7"/>
      <c r="F25" s="7"/>
      <c r="G25" s="7"/>
      <c r="H25" s="7"/>
      <c r="I25" s="7"/>
      <c r="J25" s="7"/>
      <c r="K25" s="7"/>
      <c r="L25" s="7"/>
      <c r="M25" s="7"/>
      <c r="N25" s="7"/>
      <c r="O25" s="7"/>
      <c r="P25" s="7"/>
      <c r="Q25" s="7"/>
      <c r="R25" s="7"/>
      <c r="S25" s="7"/>
    </row>
    <row r="26" spans="1:19" x14ac:dyDescent="0.3">
      <c r="A26" s="7"/>
      <c r="B26" s="7"/>
      <c r="C26" s="7"/>
      <c r="D26" s="7"/>
      <c r="E26" s="7"/>
      <c r="F26" s="7"/>
      <c r="G26" s="7"/>
      <c r="H26" s="7"/>
      <c r="I26" s="7"/>
      <c r="J26" s="7"/>
      <c r="K26" s="7"/>
      <c r="L26" s="7"/>
      <c r="M26" s="7"/>
      <c r="N26" s="7"/>
      <c r="O26" s="7"/>
      <c r="P26" s="7"/>
      <c r="Q26" s="7"/>
      <c r="R26" s="7"/>
      <c r="S26"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9ED1E-EDE4-44E3-B400-9B4AC8CD1166}">
  <dimension ref="A1:S28"/>
  <sheetViews>
    <sheetView workbookViewId="0"/>
  </sheetViews>
  <sheetFormatPr defaultRowHeight="14.4" x14ac:dyDescent="0.3"/>
  <sheetData>
    <row r="1" spans="1:19" x14ac:dyDescent="0.3">
      <c r="A1" s="6"/>
      <c r="B1" s="6"/>
      <c r="C1" s="6"/>
      <c r="D1" s="6"/>
      <c r="E1" s="6"/>
      <c r="F1" s="6"/>
      <c r="G1" s="6"/>
      <c r="H1" s="6"/>
      <c r="I1" s="6"/>
      <c r="J1" s="6"/>
      <c r="K1" s="6"/>
      <c r="L1" s="6"/>
      <c r="M1" s="6"/>
      <c r="N1" s="6"/>
      <c r="O1" s="6"/>
      <c r="P1" s="6"/>
      <c r="Q1" s="6"/>
      <c r="R1" s="6"/>
      <c r="S1" s="6"/>
    </row>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6"/>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6"/>
      <c r="E23" s="6"/>
      <c r="F23" s="6"/>
      <c r="G23" s="6"/>
      <c r="H23" s="6"/>
      <c r="I23" s="6"/>
      <c r="J23" s="6"/>
      <c r="K23" s="6"/>
      <c r="L23" s="6"/>
      <c r="M23" s="6"/>
      <c r="N23" s="6"/>
      <c r="O23" s="6"/>
      <c r="P23" s="6"/>
      <c r="Q23" s="6"/>
      <c r="R23" s="6"/>
      <c r="S23" s="6"/>
    </row>
    <row r="24" spans="1:19" x14ac:dyDescent="0.3">
      <c r="A24" s="6"/>
      <c r="B24" s="6"/>
      <c r="C24" s="6"/>
      <c r="D24" s="6" t="s">
        <v>9</v>
      </c>
      <c r="E24" s="6"/>
      <c r="F24" s="6"/>
      <c r="G24" s="6"/>
      <c r="H24" s="6"/>
      <c r="I24" s="6"/>
      <c r="J24" s="6"/>
      <c r="K24" s="6"/>
      <c r="L24" s="6"/>
      <c r="M24" s="6"/>
      <c r="N24" s="6"/>
      <c r="O24" s="6"/>
      <c r="P24" s="6"/>
      <c r="Q24" s="6"/>
      <c r="R24" s="6"/>
      <c r="S24" s="6"/>
    </row>
    <row r="25" spans="1:19" x14ac:dyDescent="0.3">
      <c r="A25" s="6"/>
      <c r="B25" s="6"/>
      <c r="C25" s="6"/>
      <c r="D25" s="6"/>
      <c r="E25" s="6"/>
      <c r="F25" s="6"/>
      <c r="G25" s="6"/>
      <c r="H25" s="6"/>
      <c r="I25" s="6"/>
      <c r="J25" s="6"/>
      <c r="K25" s="6"/>
      <c r="L25" s="6"/>
      <c r="M25" s="6"/>
      <c r="N25" s="6"/>
      <c r="O25" s="6"/>
      <c r="P25" s="6"/>
      <c r="Q25" s="6"/>
      <c r="R25" s="6"/>
      <c r="S25" s="6"/>
    </row>
    <row r="26" spans="1:19" x14ac:dyDescent="0.3">
      <c r="A26" s="6"/>
      <c r="B26" s="6"/>
      <c r="C26" s="6"/>
      <c r="D26" s="6"/>
      <c r="E26" s="6"/>
      <c r="F26" s="6"/>
      <c r="G26" s="6"/>
      <c r="H26" s="6"/>
      <c r="I26" s="6"/>
      <c r="J26" s="6"/>
      <c r="K26" s="6"/>
      <c r="L26" s="6"/>
      <c r="M26" s="6"/>
      <c r="N26" s="6"/>
      <c r="O26" s="6"/>
      <c r="P26" s="6"/>
      <c r="Q26" s="6"/>
      <c r="R26" s="6"/>
      <c r="S26" s="6"/>
    </row>
    <row r="27" spans="1:19" ht="15.6" x14ac:dyDescent="0.3">
      <c r="A27" s="6"/>
      <c r="B27" s="6"/>
      <c r="C27" s="6"/>
      <c r="D27" s="6" t="s">
        <v>10</v>
      </c>
      <c r="E27" s="6"/>
      <c r="F27" s="6"/>
      <c r="G27" s="6"/>
      <c r="H27" s="6"/>
      <c r="I27" s="6"/>
      <c r="J27" s="6"/>
      <c r="K27" s="6"/>
      <c r="L27" s="6"/>
      <c r="M27" s="6"/>
      <c r="N27" s="6"/>
      <c r="O27" s="6"/>
      <c r="P27" s="6"/>
      <c r="Q27" s="6"/>
      <c r="R27" s="6"/>
      <c r="S27" s="6"/>
    </row>
    <row r="28" spans="1:19" x14ac:dyDescent="0.3">
      <c r="A28" s="6"/>
      <c r="B28" s="6"/>
      <c r="C28" s="6"/>
      <c r="D28" s="6"/>
      <c r="E28" s="6"/>
      <c r="F28" s="6"/>
      <c r="G28" s="6"/>
      <c r="H28" s="6"/>
      <c r="I28" s="6"/>
      <c r="J28" s="6"/>
      <c r="K28" s="6"/>
      <c r="L28" s="6"/>
      <c r="M28" s="6"/>
      <c r="N28" s="6"/>
      <c r="O28" s="6"/>
      <c r="P28" s="6"/>
      <c r="Q28" s="6"/>
      <c r="R28" s="6"/>
      <c r="S28"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317D3-1665-4428-8AFD-0510BC2182E3}">
  <dimension ref="A1:S26"/>
  <sheetViews>
    <sheetView workbookViewId="0"/>
  </sheetViews>
  <sheetFormatPr defaultRowHeight="14.4" x14ac:dyDescent="0.3"/>
  <sheetData>
    <row r="1" spans="1:19" x14ac:dyDescent="0.3">
      <c r="A1" s="7"/>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row r="4" spans="1:19" x14ac:dyDescent="0.3">
      <c r="A4" s="7"/>
      <c r="B4" s="7"/>
      <c r="C4" s="7"/>
      <c r="D4" s="7"/>
      <c r="E4" s="7"/>
      <c r="F4" s="7"/>
      <c r="G4" s="7"/>
      <c r="H4" s="7"/>
      <c r="I4" s="7"/>
      <c r="J4" s="7"/>
      <c r="K4" s="7"/>
      <c r="L4" s="7"/>
      <c r="M4" s="7"/>
      <c r="N4" s="7"/>
      <c r="O4" s="7"/>
      <c r="P4" s="7"/>
      <c r="Q4" s="7"/>
      <c r="R4" s="7"/>
      <c r="S4" s="7"/>
    </row>
    <row r="5" spans="1:19" x14ac:dyDescent="0.3">
      <c r="A5" s="7"/>
      <c r="B5" s="7"/>
      <c r="C5" s="7"/>
      <c r="D5" s="7"/>
      <c r="E5" s="7"/>
      <c r="F5" s="7"/>
      <c r="G5" s="7"/>
      <c r="H5" s="7"/>
      <c r="I5" s="7"/>
      <c r="J5" s="7"/>
      <c r="K5" s="7"/>
      <c r="L5" s="7"/>
      <c r="M5" s="7"/>
      <c r="N5" s="7"/>
      <c r="O5" s="7"/>
      <c r="P5" s="7"/>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ht="15.6" x14ac:dyDescent="0.3">
      <c r="A24" s="7"/>
      <c r="B24" s="7"/>
      <c r="C24" s="8" t="s">
        <v>12</v>
      </c>
      <c r="D24" s="8"/>
      <c r="E24" s="8"/>
      <c r="F24" s="8"/>
      <c r="G24" s="8"/>
      <c r="H24" s="8"/>
      <c r="I24" s="8"/>
      <c r="J24" s="8"/>
      <c r="K24" s="8"/>
      <c r="L24" s="8"/>
      <c r="M24" s="7"/>
      <c r="N24" s="7"/>
      <c r="O24" s="7"/>
      <c r="P24" s="7"/>
      <c r="Q24" s="7"/>
      <c r="R24" s="7"/>
      <c r="S24" s="7"/>
    </row>
    <row r="25" spans="1:19" x14ac:dyDescent="0.3">
      <c r="A25" s="7"/>
      <c r="B25" s="7"/>
      <c r="C25" s="7"/>
      <c r="D25" s="7"/>
      <c r="E25" s="7"/>
      <c r="F25" s="7"/>
      <c r="G25" s="7"/>
      <c r="H25" s="7"/>
      <c r="I25" s="7"/>
      <c r="J25" s="7"/>
      <c r="K25" s="7"/>
      <c r="L25" s="7"/>
      <c r="M25" s="7"/>
      <c r="N25" s="7"/>
      <c r="O25" s="7"/>
      <c r="P25" s="7"/>
      <c r="Q25" s="7"/>
      <c r="R25" s="7"/>
      <c r="S25" s="7"/>
    </row>
    <row r="26" spans="1:19" x14ac:dyDescent="0.3">
      <c r="A26" s="7"/>
      <c r="B26" s="7"/>
      <c r="C26" s="7"/>
      <c r="D26" s="7"/>
      <c r="E26" s="7"/>
      <c r="F26" s="7"/>
      <c r="G26" s="7"/>
      <c r="H26" s="7"/>
      <c r="I26" s="7"/>
      <c r="J26" s="7"/>
      <c r="K26" s="7"/>
      <c r="L26" s="7"/>
      <c r="M26" s="7"/>
      <c r="N26" s="7"/>
      <c r="O26" s="7"/>
      <c r="P26" s="7"/>
      <c r="Q26" s="7"/>
      <c r="R26" s="7"/>
      <c r="S26"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761D3AC8-BBC7-4699-948C-F813001E27D2}">
  <ds:schemaRefs/>
</ds:datastoreItem>
</file>

<file path=customXml/itemProps2.xml><?xml version="1.0" encoding="utf-8"?>
<ds:datastoreItem xmlns:ds="http://schemas.openxmlformats.org/officeDocument/2006/customXml" ds:itemID="{AC92D246-796B-4B74-A3AD-9D4D0752CE41}">
  <ds:schemaRefs/>
</ds:datastoreItem>
</file>

<file path=customXml/itemProps3.xml><?xml version="1.0" encoding="utf-8"?>
<ds:datastoreItem xmlns:ds="http://schemas.openxmlformats.org/officeDocument/2006/customXml" ds:itemID="{FA7B30EA-7247-4EB6-9A2B-46EBB9C5115A}">
  <ds:schemaRefs/>
</ds:datastoreItem>
</file>

<file path=customXml/itemProps4.xml><?xml version="1.0" encoding="utf-8"?>
<ds:datastoreItem xmlns:ds="http://schemas.openxmlformats.org/officeDocument/2006/customXml" ds:itemID="{8A4D49E3-2958-4894-8ADC-2673BCFDDFE6}">
  <ds:schemaRefs/>
</ds:datastoreItem>
</file>

<file path=customXml/itemProps5.xml><?xml version="1.0" encoding="utf-8"?>
<ds:datastoreItem xmlns:ds="http://schemas.openxmlformats.org/officeDocument/2006/customXml" ds:itemID="{A380C3E1-2A20-4B99-AF4C-2B01C5B1A25E}">
  <ds:schemaRefs/>
</ds:datastoreItem>
</file>

<file path=customXml/itemProps6.xml><?xml version="1.0" encoding="utf-8"?>
<ds:datastoreItem xmlns:ds="http://schemas.openxmlformats.org/officeDocument/2006/customXml" ds:itemID="{B5F393A0-6159-4A2D-889A-F557EFB4BE29}">
  <ds:schemaRefs/>
</ds:datastoreItem>
</file>

<file path=customXml/itemProps7.xml><?xml version="1.0" encoding="utf-8"?>
<ds:datastoreItem xmlns:ds="http://schemas.openxmlformats.org/officeDocument/2006/customXml" ds:itemID="{5192DF57-39F3-463B-B2B5-32237C2EFE61}">
  <ds:schemaRefs/>
</ds:datastoreItem>
</file>

<file path=customXml/itemProps8.xml><?xml version="1.0" encoding="utf-8"?>
<ds:datastoreItem xmlns:ds="http://schemas.openxmlformats.org/officeDocument/2006/customXml" ds:itemID="{C2611213-20BE-43B6-8DB2-0E957B42410C}">
  <ds:schemaRefs/>
</ds:datastoreItem>
</file>

<file path=customXml/itemProps9.xml><?xml version="1.0" encoding="utf-8"?>
<ds:datastoreItem xmlns:ds="http://schemas.openxmlformats.org/officeDocument/2006/customXml" ds:itemID="{6333B350-05E1-4631-AC82-F2293397F93F}">
  <ds:schemaRefs/>
</ds:datastoreItem>
</file>

<file path=customXml/itemProps10.xml><?xml version="1.0" encoding="utf-8"?>
<ds:datastoreItem xmlns:ds="http://schemas.openxmlformats.org/officeDocument/2006/customXml" ds:itemID="{46E6F87A-6DAE-4EBC-8661-191DA61DD992}">
  <ds:schemaRefs/>
</ds:datastoreItem>
</file>

<file path=customXml/itemProps11.xml><?xml version="1.0" encoding="utf-8"?>
<ds:datastoreItem xmlns:ds="http://schemas.openxmlformats.org/officeDocument/2006/customXml" ds:itemID="{F0764E60-7808-47CA-B848-E4E197F3E709}">
  <ds:schemaRefs/>
</ds:datastoreItem>
</file>

<file path=customXml/itemProps12.xml><?xml version="1.0" encoding="utf-8"?>
<ds:datastoreItem xmlns:ds="http://schemas.openxmlformats.org/officeDocument/2006/customXml" ds:itemID="{6F76D162-294F-4CA1-AD17-742B75B57B3F}">
  <ds:schemaRefs/>
</ds:datastoreItem>
</file>

<file path=customXml/itemProps13.xml><?xml version="1.0" encoding="utf-8"?>
<ds:datastoreItem xmlns:ds="http://schemas.openxmlformats.org/officeDocument/2006/customXml" ds:itemID="{F88D233F-85A0-4418-8A78-8187217CF90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 daily trend</vt:lpstr>
      <vt:lpstr>Daily Patient E.Room</vt:lpstr>
      <vt:lpstr>Satisfaction score daily trend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Arati Bhokare</dc:creator>
  <cp:lastModifiedBy>Arati Bhokare</cp:lastModifiedBy>
  <dcterms:created xsi:type="dcterms:W3CDTF">2026-09-16T09:56:07Z</dcterms:created>
  <dcterms:modified xsi:type="dcterms:W3CDTF">2026-09-22T15:30:40Z</dcterms:modified>
</cp:coreProperties>
</file>